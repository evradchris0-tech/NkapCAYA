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5" autoFilterDateGrouping="1"/>
  </bookViews>
  <sheets>
    <sheet xmlns:r="http://schemas.openxmlformats.org/officeDocument/2006/relationships" name="membres_infos" sheetId="1" state="visible" r:id="rId1"/>
    <sheet xmlns:r="http://schemas.openxmlformats.org/officeDocument/2006/relationships" name="ep+int" sheetId="2" state="visible" r:id="rId2"/>
    <sheet xmlns:r="http://schemas.openxmlformats.org/officeDocument/2006/relationships" name="prets25" sheetId="3" state="visible" r:id="rId3"/>
    <sheet xmlns:r="http://schemas.openxmlformats.org/officeDocument/2006/relationships" name="Rem25" sheetId="4" state="visible" r:id="rId4"/>
    <sheet xmlns:r="http://schemas.openxmlformats.org/officeDocument/2006/relationships" name="intérêts" sheetId="5" state="visible" r:id="rId5"/>
    <sheet xmlns:r="http://schemas.openxmlformats.org/officeDocument/2006/relationships" name="insc+sec" sheetId="6" state="visible" r:id="rId6"/>
    <sheet xmlns:r="http://schemas.openxmlformats.org/officeDocument/2006/relationships" name="Oct.25 (2)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\ _€_-;\-* #,##0\ _€_-;_-* &quot;-&quot;\ _€_-;_-@_-"/>
  </numFmts>
  <fonts count="20">
    <font>
      <name val="Calibri"/>
      <family val="2"/>
      <color theme="1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"/>
      <sz val="13"/>
      <scheme val="minor"/>
    </font>
    <font>
      <name val="Calibri"/>
      <family val="2"/>
      <color rgb="FF002060"/>
      <sz val="13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3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0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4F46E5"/>
        <bgColor rgb="004F46E5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6" fillId="0" borderId="0" pivotButton="0" quotePrefix="0" xfId="0"/>
    <xf numFmtId="0" fontId="2" fillId="6" borderId="0" pivotButton="0" quotePrefix="0" xfId="0"/>
    <xf numFmtId="0" fontId="2" fillId="0" borderId="2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/>
    </xf>
    <xf numFmtId="0" fontId="0" fillId="4" borderId="0" pivotButton="0" quotePrefix="0" xfId="0"/>
    <xf numFmtId="0" fontId="10" fillId="0" borderId="0" applyAlignment="1" pivotButton="0" quotePrefix="0" xfId="0">
      <alignment horizontal="center"/>
    </xf>
    <xf numFmtId="0" fontId="11" fillId="8" borderId="0" pivotButton="0" quotePrefix="0" xfId="0"/>
    <xf numFmtId="0" fontId="3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12" fillId="8" borderId="0" applyAlignment="1" pivotButton="0" quotePrefix="0" xfId="0">
      <alignment horizontal="center" vertical="center"/>
    </xf>
    <xf numFmtId="164" fontId="9" fillId="7" borderId="0" pivotButton="0" quotePrefix="0" xfId="0"/>
    <xf numFmtId="164" fontId="9" fillId="2" borderId="0" pivotButton="0" quotePrefix="0" xfId="0"/>
    <xf numFmtId="164" fontId="9" fillId="3" borderId="0" pivotButton="0" quotePrefix="0" xfId="0"/>
    <xf numFmtId="164" fontId="2" fillId="0" borderId="0" pivotButton="0" quotePrefix="0" xfId="0"/>
    <xf numFmtId="164" fontId="2" fillId="2" borderId="0" pivotButton="0" quotePrefix="0" xfId="0"/>
    <xf numFmtId="164" fontId="6" fillId="0" borderId="0" pivotButton="0" quotePrefix="0" xfId="0"/>
    <xf numFmtId="164" fontId="9" fillId="7" borderId="3" pivotButton="0" quotePrefix="0" xfId="0"/>
    <xf numFmtId="164" fontId="9" fillId="2" borderId="3" pivotButton="0" quotePrefix="0" xfId="0"/>
    <xf numFmtId="164" fontId="0" fillId="0" borderId="0" pivotButton="0" quotePrefix="0" xfId="0"/>
    <xf numFmtId="164" fontId="1" fillId="0" borderId="0" pivotButton="0" quotePrefix="0" xfId="0"/>
    <xf numFmtId="164" fontId="9" fillId="0" borderId="0" pivotButton="0" quotePrefix="0" xfId="0"/>
    <xf numFmtId="0" fontId="2" fillId="0" borderId="0" applyAlignment="1" pivotButton="0" quotePrefix="0" xfId="0">
      <alignment horizontal="left"/>
    </xf>
    <xf numFmtId="164" fontId="5" fillId="0" borderId="0" pivotButton="0" quotePrefix="0" xfId="0"/>
    <xf numFmtId="164" fontId="1" fillId="0" borderId="2" pivotButton="0" quotePrefix="0" xfId="0"/>
    <xf numFmtId="164" fontId="7" fillId="0" borderId="0" pivotButton="0" quotePrefix="0" xfId="0"/>
    <xf numFmtId="164" fontId="8" fillId="0" borderId="0" pivotButton="0" quotePrefix="0" xfId="0"/>
    <xf numFmtId="0" fontId="15" fillId="0" borderId="3" applyAlignment="1" pivotButton="0" quotePrefix="0" xfId="0">
      <alignment horizontal="center" vertical="center"/>
    </xf>
    <xf numFmtId="0" fontId="2" fillId="0" borderId="3" pivotButton="0" quotePrefix="0" xfId="0"/>
    <xf numFmtId="0" fontId="2" fillId="6" borderId="3" pivotButton="0" quotePrefix="0" xfId="0"/>
    <xf numFmtId="164" fontId="2" fillId="0" borderId="3" pivotButton="0" quotePrefix="0" xfId="0"/>
    <xf numFmtId="0" fontId="16" fillId="9" borderId="1" applyAlignment="1" pivotButton="0" quotePrefix="0" xfId="0">
      <alignment horizontal="center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164" fontId="12" fillId="1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4" fontId="12" fillId="3" borderId="3" applyAlignment="1" pivotButton="0" quotePrefix="0" xfId="0">
      <alignment horizontal="center"/>
    </xf>
    <xf numFmtId="0" fontId="0" fillId="11" borderId="3" pivotButton="0" quotePrefix="0" xfId="0"/>
    <xf numFmtId="0" fontId="2" fillId="11" borderId="3" pivotButton="0" quotePrefix="0" xfId="0"/>
    <xf numFmtId="164" fontId="2" fillId="11" borderId="3" pivotButton="0" quotePrefix="0" xfId="0"/>
    <xf numFmtId="164" fontId="12" fillId="11" borderId="3" applyAlignment="1" pivotButton="0" quotePrefix="0" xfId="0">
      <alignment horizontal="center"/>
    </xf>
    <xf numFmtId="0" fontId="6" fillId="0" borderId="3" pivotButton="0" quotePrefix="0" xfId="0"/>
    <xf numFmtId="164" fontId="2" fillId="0" borderId="3" applyAlignment="1" pivotButton="0" quotePrefix="0" xfId="0">
      <alignment horizontal="center"/>
    </xf>
    <xf numFmtId="0" fontId="6" fillId="11" borderId="3" pivotButton="0" quotePrefix="0" xfId="0"/>
    <xf numFmtId="0" fontId="12" fillId="10" borderId="3" applyAlignment="1" pivotButton="0" quotePrefix="0" xfId="0">
      <alignment horizontal="center"/>
    </xf>
    <xf numFmtId="164" fontId="2" fillId="11" borderId="3" applyAlignment="1" pivotButton="0" quotePrefix="0" xfId="0">
      <alignment horizontal="center"/>
    </xf>
    <xf numFmtId="164" fontId="2" fillId="2" borderId="3" pivotButton="0" quotePrefix="0" xfId="0"/>
    <xf numFmtId="0" fontId="0" fillId="2" borderId="3" pivotButton="0" quotePrefix="0" xfId="0"/>
    <xf numFmtId="0" fontId="12" fillId="0" borderId="4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12" fillId="0" borderId="3" pivotButton="0" quotePrefix="0" xfId="0"/>
    <xf numFmtId="164" fontId="2" fillId="12" borderId="3" pivotButton="0" quotePrefix="0" xfId="0"/>
    <xf numFmtId="0" fontId="0" fillId="13" borderId="0" applyAlignment="1" pivotButton="0" quotePrefix="0" xfId="0">
      <alignment horizontal="center"/>
    </xf>
    <xf numFmtId="164" fontId="2" fillId="13" borderId="3" pivotButton="0" quotePrefix="0" xfId="0"/>
    <xf numFmtId="164" fontId="2" fillId="13" borderId="3" applyAlignment="1" pivotButton="0" quotePrefix="0" xfId="0">
      <alignment horizontal="center"/>
    </xf>
    <xf numFmtId="0" fontId="17" fillId="10" borderId="3" applyAlignment="1" pivotButton="0" quotePrefix="0" xfId="0">
      <alignment horizontal="center"/>
    </xf>
    <xf numFmtId="164" fontId="18" fillId="10" borderId="3" applyAlignment="1" pivotButton="0" quotePrefix="0" xfId="0">
      <alignment horizontal="center"/>
    </xf>
    <xf numFmtId="164" fontId="17" fillId="10" borderId="3" applyAlignment="1" pivotButton="0" quotePrefix="0" xfId="0">
      <alignment horizontal="center"/>
    </xf>
    <xf numFmtId="164" fontId="17" fillId="13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9" fillId="14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Normal" xfId="0" builtinId="0"/>
  </cellStyles>
  <dxfs count="72">
    <dxf>
      <font>
        <b val="1"/>
      </font>
      <numFmt numFmtId="164" formatCode="_-* #,##0\ _€_-;\-* #,##0\ _€_-;_-* &quot;-&quot;\ _€_-;_-@_-"/>
      <fill>
        <patternFill patternType="solid">
          <fgColor indexed="64"/>
          <bgColor rgb="FF00B0F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fill>
        <patternFill>
          <fgColor indexed="64"/>
          <bgColor theme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fill>
        <patternFill patternType="solid">
          <fgColor indexed="64"/>
          <bgColor rgb="FF7030A0"/>
        </patternFill>
      </fill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fill>
        <patternFill patternType="solid">
          <fgColor indexed="64"/>
          <bgColor rgb="FFFFC000"/>
        </patternFill>
      </fill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sz val="13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auto="1"/>
        <extend val="0"/>
        <sz val="13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rgb="FF7030A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</dxf>
    <dxf>
      <font>
        <name val="Calibri"/>
        <strike val="0"/>
        <outline val="0"/>
        <shadow val="0"/>
        <condense val="0"/>
        <color rgb="FF00B05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0" formatCode="General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numFmt numFmtId="164" formatCode="_-* #,##0\ _€_-;\-* #,##0\ _€_-;_-* &quot;-&quot;\ _€_-;_-@_-"/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</font>
      <alignment horizontal="general" vertical="bottom"/>
    </dxf>
    <dxf>
      <font>
        <name val="Calibri"/>
        <strike val="0"/>
        <outline val="0"/>
        <shadow val="0"/>
        <condense val="0"/>
        <color rgb="FF002060"/>
        <extend val="0"/>
        <sz val="11"/>
        <vertAlign val="baseline"/>
        <scheme val="minor"/>
      </font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au44" displayName="Tableau44" ref="A1:AM37" headerRowCount="1" totalsRowShown="0" headerRowDxfId="71" dataDxfId="70">
  <autoFilter ref="A1:AM37"/>
  <tableColumns count="39">
    <tableColumn id="1" name="NOMS ET PRENOMS" dataDxfId="69"/>
    <tableColumn id="2" name="EP AOUT" dataDxfId="68"/>
    <tableColumn id="3" name="EP AOUT+INT" dataDxfId="67">
      <calculatedColumnFormula>B2*(1+(#REF!)/(B$37))</calculatedColumnFormula>
    </tableColumn>
    <tableColumn id="4" name="EP SEPT" dataDxfId="66"/>
    <tableColumn id="5" name="CUMUL1" dataDxfId="65">
      <calculatedColumnFormula>+D2+C2</calculatedColumnFormula>
    </tableColumn>
    <tableColumn id="6" name="EP +INT1" dataDxfId="64">
      <calculatedColumnFormula>+E2*(1+(#REF!)/(E$37))</calculatedColumnFormula>
    </tableColumn>
    <tableColumn id="7" name="EP OCTO" dataDxfId="63"/>
    <tableColumn id="8" name="CUMUL2" dataDxfId="62">
      <calculatedColumnFormula>+F2+G2</calculatedColumnFormula>
    </tableColumn>
    <tableColumn id="9" name="EP +INT2" dataDxfId="61">
      <calculatedColumnFormula>+H2*(1+(#REF!)/(H$37))</calculatedColumnFormula>
    </tableColumn>
    <tableColumn id="10" name="EP NOV" dataDxfId="60"/>
    <tableColumn id="11" name="CUMUL3" dataDxfId="59">
      <calculatedColumnFormula>+I2+J2</calculatedColumnFormula>
    </tableColumn>
    <tableColumn id="12" name="EP +INT3" dataDxfId="58">
      <calculatedColumnFormula>+K2*(1+(#REF!)/(K$37))</calculatedColumnFormula>
    </tableColumn>
    <tableColumn id="13" name="EP DEC" dataDxfId="57"/>
    <tableColumn id="14" name="CUMUL4" dataDxfId="56">
      <calculatedColumnFormula>+L2+M2</calculatedColumnFormula>
    </tableColumn>
    <tableColumn id="15" name="EP+INT" dataDxfId="55">
      <calculatedColumnFormula>+N2*(1+(#REF!)/(N$37))</calculatedColumnFormula>
    </tableColumn>
    <tableColumn id="16" name="EP JANV" dataDxfId="54"/>
    <tableColumn id="17" name="CUMUL5" dataDxfId="53">
      <calculatedColumnFormula>+O2+P2</calculatedColumnFormula>
    </tableColumn>
    <tableColumn id="18" name="EP+INT4" dataDxfId="52">
      <calculatedColumnFormula>+Q2*(1+(#REF!)/(Q$37))</calculatedColumnFormula>
    </tableColumn>
    <tableColumn id="19" name="EP FEV" dataDxfId="51"/>
    <tableColumn id="20" name="CUMUL6" dataDxfId="50">
      <calculatedColumnFormula>+R2+S2</calculatedColumnFormula>
    </tableColumn>
    <tableColumn id="21" name="EP+INT5" dataDxfId="49">
      <calculatedColumnFormula>+T2*(1+(#REF!)/(T$37))</calculatedColumnFormula>
    </tableColumn>
    <tableColumn id="22" name="EP MARS" dataDxfId="48"/>
    <tableColumn id="23" name="CUMUL7" dataDxfId="47">
      <calculatedColumnFormula>+U2+V2</calculatedColumnFormula>
    </tableColumn>
    <tableColumn id="24" name="EP+INT6" dataDxfId="46">
      <calculatedColumnFormula>+W2*(1+(#REF!)/(W$37))</calculatedColumnFormula>
    </tableColumn>
    <tableColumn id="25" name="EP AVRI" dataDxfId="45"/>
    <tableColumn id="26" name="CUMUL8" dataDxfId="44">
      <calculatedColumnFormula>+X2+Y2</calculatedColumnFormula>
    </tableColumn>
    <tableColumn id="27" name="EP+INT7" dataDxfId="43">
      <calculatedColumnFormula>+Z2*(1+(#REF!)/(Z$37))</calculatedColumnFormula>
    </tableColumn>
    <tableColumn id="28" name="EP MAI" dataDxfId="42"/>
    <tableColumn id="29" name="CUMUL9" dataDxfId="41">
      <calculatedColumnFormula>+AA2+AB2</calculatedColumnFormula>
    </tableColumn>
    <tableColumn id="30" name="EP+INT8" dataDxfId="40">
      <calculatedColumnFormula>+AC2*(1+(#REF!)/(AC$37))</calculatedColumnFormula>
    </tableColumn>
    <tableColumn id="31" name="EP JUIN" dataDxfId="39"/>
    <tableColumn id="32" name="CUMUL10" dataDxfId="38">
      <calculatedColumnFormula>+AD2+AE2</calculatedColumnFormula>
    </tableColumn>
    <tableColumn id="33" name="EP+INT9" dataDxfId="37">
      <calculatedColumnFormula>+AF2*(1+(#REF!)/(AF$37))</calculatedColumnFormula>
    </tableColumn>
    <tableColumn id="45" name="EP JUILL" dataDxfId="36"/>
    <tableColumn id="46" name="CUMUL11" dataDxfId="35">
      <calculatedColumnFormula>+AG2+AH2</calculatedColumnFormula>
    </tableColumn>
    <tableColumn id="44" name="EP+INT94" dataDxfId="34">
      <calculatedColumnFormula>+AI2*(1+(#REF!)/(AI$37))</calculatedColumnFormula>
    </tableColumn>
    <tableColumn id="34" name="EP TOTALE" dataDxfId="33">
      <calculatedColumnFormula>B2+D2+G2+J2+M2+P2+S2+V2+Y2+AB2+AE2</calculatedColumnFormula>
    </tableColumn>
    <tableColumn id="35" name="INTERETS" dataDxfId="32">
      <calculatedColumnFormula>-AK2+AJ2</calculatedColumnFormula>
    </tableColumn>
    <tableColumn id="36" name="N A P" dataDxfId="31">
      <calculatedColumnFormula>Tableau44[[#This Row],[EP TOTALE]]+Tableau44[[#This Row],[INTERETS]]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O34" headerRowCount="1" totalsRowShown="0" headerRowDxfId="30" dataDxfId="29">
  <autoFilter ref="A1:O34"/>
  <tableColumns count="15">
    <tableColumn id="1" name="NOMS ET PRENOMS" dataDxfId="28"/>
    <tableColumn id="2" name="inscriptions" dataDxfId="27"/>
    <tableColumn id="3" name="SEC SEPT" dataDxfId="26"/>
    <tableColumn id="18" name="SEC OCT" dataDxfId="25"/>
    <tableColumn id="17" name="SEC NOV" dataDxfId="24"/>
    <tableColumn id="4" name="SEC DEC" dataDxfId="23"/>
    <tableColumn id="5" name="SEC JANV" dataDxfId="22"/>
    <tableColumn id="6" name="SEC FEV" dataDxfId="21"/>
    <tableColumn id="7" name="SEC MAR" dataDxfId="20"/>
    <tableColumn id="8" name="SEC AVR" dataDxfId="19"/>
    <tableColumn id="9" name="SEC MAI" dataDxfId="18"/>
    <tableColumn id="10" name="SEC JUIN" dataDxfId="17"/>
    <tableColumn id="11" name="SEC JUIL" dataDxfId="16"/>
    <tableColumn id="12" name="SEC AOUT" dataDxfId="15"/>
    <tableColumn id="15" name="TOTAL" dataDxfId="14">
      <calculatedColumnFormula>+SUM(C2:N2)</calculatedColumnFormula>
    </tableColumn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id="3" name="Tableau165" displayName="Tableau165" ref="B1:M35" headerRowCount="1" totalsRowShown="0" headerRowDxfId="13" dataDxfId="12">
  <autoFilter ref="B1:M35"/>
  <sortState ref="B2:M35">
    <sortCondition ref="B1:B35"/>
  </sortState>
  <tableColumns count="12">
    <tableColumn id="1" name="NOMS ET PRENOMS" dataDxfId="11"/>
    <tableColumn id="2" name="INSC" dataDxfId="10"/>
    <tableColumn id="9" name="SECOURS" dataDxfId="9"/>
    <tableColumn id="4" name="TONTINE" dataDxfId="8"/>
    <tableColumn id="3" name="POT" dataDxfId="7"/>
    <tableColumn id="6" name="REM_PRET" dataDxfId="6"/>
    <tableColumn id="5" name="EPARGNE" dataDxfId="5"/>
    <tableColumn id="7" name="PRÊT" dataDxfId="4"/>
    <tableColumn id="13" name="Colonne1" dataDxfId="3"/>
    <tableColumn id="11" name="PROJET" dataDxfId="2"/>
    <tableColumn id="10" name="AUTRES" dataDxfId="1"/>
    <tableColumn id="14" name="TOTAL" dataDxfId="0">
      <calculatedColumnFormula>+SUM(C2:L2)</calculatedColumnFormula>
    </tableColumn>
  </tableColumns>
  <tableStyleInfo name="TableStyleLight13" showFirstColumn="0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0FF00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>
      <c r="A1" s="78" t="inlineStr">
        <is>
          <t>Nom Complet</t>
        </is>
      </c>
      <c r="B1" s="78" t="inlineStr">
        <is>
          <t>Téléphone</t>
        </is>
      </c>
      <c r="C1" s="78" t="inlineStr">
        <is>
          <t>Quartier</t>
        </is>
      </c>
    </row>
    <row r="2">
      <c r="A2" t="inlineStr">
        <is>
          <t>MENGUE François Xavier</t>
        </is>
      </c>
    </row>
    <row r="3">
      <c r="A3" t="inlineStr">
        <is>
          <t>EBOGO BIKOULA Gilbert</t>
        </is>
      </c>
    </row>
    <row r="4">
      <c r="A4" t="inlineStr">
        <is>
          <t>IPOULE Michel Landry</t>
        </is>
      </c>
    </row>
    <row r="5">
      <c r="A5" t="inlineStr">
        <is>
          <t>OMGBA FOUDA Simon Pierre</t>
        </is>
      </c>
    </row>
    <row r="6">
      <c r="A6" t="inlineStr">
        <is>
          <t>100500</t>
        </is>
      </c>
    </row>
    <row r="7">
      <c r="A7" t="inlineStr">
        <is>
          <t>AUTRES / FETE</t>
        </is>
      </c>
    </row>
    <row r="8">
      <c r="A8" t="inlineStr">
        <is>
          <t>MBA ENYOUGOU Bernard</t>
        </is>
      </c>
    </row>
    <row r="9">
      <c r="A9" t="inlineStr">
        <is>
          <t>MIONG RIGOBERT Dieudonné</t>
        </is>
      </c>
    </row>
    <row r="10">
      <c r="A10" t="inlineStr">
        <is>
          <t>LIKENG BALEBA</t>
        </is>
      </c>
    </row>
    <row r="11">
      <c r="A11" t="inlineStr">
        <is>
          <t>EWALA Jacques Philippe</t>
        </is>
      </c>
    </row>
    <row r="12">
      <c r="A12" t="inlineStr">
        <is>
          <t>MBAMBA NSOA Jean Paul</t>
        </is>
      </c>
    </row>
    <row r="13">
      <c r="A13" t="inlineStr">
        <is>
          <t>600000</t>
        </is>
      </c>
    </row>
    <row r="14">
      <c r="A14" t="inlineStr">
        <is>
          <t>MANI EKOUDI François M.</t>
        </is>
      </c>
    </row>
    <row r="15">
      <c r="A15" t="inlineStr">
        <is>
          <t>100000</t>
        </is>
      </c>
    </row>
    <row r="16">
      <c r="A16" t="inlineStr">
        <is>
          <t>BOMBA FOUDA Mathieu</t>
        </is>
      </c>
    </row>
    <row r="17">
      <c r="A17" t="inlineStr">
        <is>
          <t>ZE ANDJE Eric</t>
        </is>
      </c>
    </row>
    <row r="18">
      <c r="A18" t="inlineStr">
        <is>
          <t>SECOURS / CAYA</t>
        </is>
      </c>
    </row>
    <row r="19">
      <c r="A19" t="inlineStr">
        <is>
          <t>MBADI Homer Paul</t>
        </is>
      </c>
    </row>
    <row r="20">
      <c r="A20" t="inlineStr">
        <is>
          <t>MAMA Paul Yannick</t>
        </is>
      </c>
    </row>
    <row r="21">
      <c r="A21" t="inlineStr">
        <is>
          <t>TSANGA TSANGA Christol</t>
        </is>
      </c>
    </row>
    <row r="22">
      <c r="A22">
        <f>B44/B37</f>
        <v/>
      </c>
    </row>
    <row r="23">
      <c r="A23" t="inlineStr">
        <is>
          <t>FOTUE KAMGUE Kevin</t>
        </is>
      </c>
    </row>
    <row r="24">
      <c r="A24" t="inlineStr">
        <is>
          <t>BANGA NNA Israel</t>
        </is>
      </c>
    </row>
    <row r="25">
      <c r="A25" t="inlineStr">
        <is>
          <t>38000</t>
        </is>
      </c>
    </row>
    <row r="26">
      <c r="A26" t="inlineStr">
        <is>
          <t>ABENG ZE Jean Claude</t>
        </is>
      </c>
    </row>
    <row r="27">
      <c r="A27" t="inlineStr">
        <is>
          <t>ITOP Samuel</t>
        </is>
      </c>
    </row>
    <row r="28">
      <c r="A28" t="inlineStr">
        <is>
          <t>ETOA Yves</t>
        </is>
      </c>
    </row>
    <row r="29">
      <c r="A29" t="inlineStr">
        <is>
          <t>ONDOA Jean</t>
        </is>
      </c>
    </row>
    <row r="30">
      <c r="A30" t="inlineStr">
        <is>
          <t>BUREAU</t>
        </is>
      </c>
    </row>
    <row r="31">
      <c r="A31" t="inlineStr">
        <is>
          <t>ESSALA Etienne</t>
        </is>
      </c>
    </row>
    <row r="32">
      <c r="A32" t="inlineStr">
        <is>
          <t>OMGBA MIMBOE Gaetan</t>
        </is>
      </c>
    </row>
    <row r="33">
      <c r="A33" t="inlineStr">
        <is>
          <t>BISSAI BI NOMBO Fabrice</t>
        </is>
      </c>
    </row>
    <row r="34">
      <c r="A34" t="inlineStr">
        <is>
          <t>ONANA NKADA Laurent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zoomScaleNormal="100" workbookViewId="0">
      <pane xSplit="1" topLeftCell="J1" activePane="topRight" state="frozen"/>
      <selection pane="topRight" activeCell="M2" sqref="M2"/>
    </sheetView>
  </sheetViews>
  <sheetFormatPr baseColWidth="10" defaultRowHeight="15"/>
  <cols>
    <col width="22.5703125" customWidth="1" style="5" min="1" max="1"/>
    <col width="14.42578125" customWidth="1" style="5" min="2" max="2"/>
    <col width="13.85546875" customWidth="1" style="5" min="3" max="3"/>
    <col width="14.42578125" bestFit="1" customWidth="1" style="5" min="4" max="6"/>
    <col width="14.28515625" bestFit="1" customWidth="1" style="5" min="7" max="13"/>
    <col width="15.28515625" bestFit="1" customWidth="1" style="5" min="14" max="15"/>
    <col width="12.85546875" bestFit="1" customWidth="1" style="5" min="16" max="16"/>
    <col width="15.28515625" bestFit="1" customWidth="1" style="5" min="17" max="18"/>
    <col width="12.85546875" bestFit="1" customWidth="1" style="5" min="19" max="19"/>
    <col width="15.28515625" bestFit="1" customWidth="1" style="5" min="20" max="21"/>
    <col width="14.28515625" bestFit="1" customWidth="1" style="5" min="22" max="22"/>
    <col width="15.28515625" bestFit="1" customWidth="1" style="5" min="23" max="24"/>
    <col width="12" customWidth="1" style="5" min="25" max="25"/>
    <col width="15.28515625" bestFit="1" customWidth="1" style="5" min="26" max="27"/>
    <col width="12.85546875" bestFit="1" customWidth="1" style="5" min="28" max="28"/>
    <col width="15.28515625" bestFit="1" customWidth="1" style="5" min="29" max="30"/>
    <col width="12.85546875" bestFit="1" customWidth="1" style="5" min="31" max="31"/>
    <col width="15.28515625" bestFit="1" customWidth="1" style="5" min="32" max="33"/>
    <col width="11.5703125" bestFit="1" customWidth="1" style="5" min="34" max="34"/>
    <col width="15.28515625" bestFit="1" customWidth="1" style="5" min="35" max="35"/>
    <col width="13.28515625" customWidth="1" style="5" min="36" max="36"/>
    <col width="17.28515625" customWidth="1" style="5" min="37" max="37"/>
    <col width="12.85546875" customWidth="1" style="5" min="38" max="38"/>
    <col width="15.28515625" bestFit="1" customWidth="1" style="5" min="39" max="39"/>
    <col width="8.28515625" customWidth="1" style="5" min="40" max="40"/>
    <col width="6" customWidth="1" style="5" min="41" max="41"/>
    <col width="23" customWidth="1" style="5" min="42" max="42"/>
    <col width="15.28515625" bestFit="1" customWidth="1" style="5" min="43" max="43"/>
    <col width="11.42578125" customWidth="1" style="5" min="44" max="44"/>
    <col width="12.7109375" bestFit="1" customWidth="1" style="5" min="45" max="45"/>
    <col width="5.7109375" customWidth="1" style="5" min="46" max="46"/>
    <col width="11.42578125" customWidth="1" style="5" min="47" max="16384"/>
  </cols>
  <sheetData>
    <row r="1">
      <c r="A1" s="4" t="inlineStr">
        <is>
          <t>NOMS ET PRENOMS</t>
        </is>
      </c>
      <c r="B1" s="18" t="inlineStr">
        <is>
          <t>EP AOUT</t>
        </is>
      </c>
      <c r="C1" s="4" t="inlineStr">
        <is>
          <t>EP AOUT+INT</t>
        </is>
      </c>
      <c r="D1" s="18" t="inlineStr">
        <is>
          <t>EP SEPT</t>
        </is>
      </c>
      <c r="E1" s="4" t="inlineStr">
        <is>
          <t>CUMUL1</t>
        </is>
      </c>
      <c r="F1" s="4" t="inlineStr">
        <is>
          <t>EP +INT1</t>
        </is>
      </c>
      <c r="G1" s="18" t="inlineStr">
        <is>
          <t>EP OCTO</t>
        </is>
      </c>
      <c r="H1" s="4" t="inlineStr">
        <is>
          <t>CUMUL2</t>
        </is>
      </c>
      <c r="I1" s="4" t="inlineStr">
        <is>
          <t>EP +INT2</t>
        </is>
      </c>
      <c r="J1" s="18" t="inlineStr">
        <is>
          <t>EP NOV</t>
        </is>
      </c>
      <c r="K1" s="4" t="inlineStr">
        <is>
          <t>CUMUL3</t>
        </is>
      </c>
      <c r="L1" s="4" t="inlineStr">
        <is>
          <t>EP +INT3</t>
        </is>
      </c>
      <c r="M1" s="18" t="inlineStr">
        <is>
          <t>EP DEC</t>
        </is>
      </c>
      <c r="N1" s="4" t="inlineStr">
        <is>
          <t>CUMUL4</t>
        </is>
      </c>
      <c r="O1" s="4" t="inlineStr">
        <is>
          <t>EP+INT</t>
        </is>
      </c>
      <c r="P1" s="18" t="inlineStr">
        <is>
          <t>EP JANV</t>
        </is>
      </c>
      <c r="Q1" s="4" t="inlineStr">
        <is>
          <t>CUMUL5</t>
        </is>
      </c>
      <c r="R1" s="4" t="inlineStr">
        <is>
          <t>EP+INT4</t>
        </is>
      </c>
      <c r="S1" s="18" t="inlineStr">
        <is>
          <t>EP FEV</t>
        </is>
      </c>
      <c r="T1" s="4" t="inlineStr">
        <is>
          <t>CUMUL6</t>
        </is>
      </c>
      <c r="U1" s="4" t="inlineStr">
        <is>
          <t>EP+INT5</t>
        </is>
      </c>
      <c r="V1" s="18" t="inlineStr">
        <is>
          <t>EP MARS</t>
        </is>
      </c>
      <c r="W1" s="4" t="inlineStr">
        <is>
          <t>CUMUL7</t>
        </is>
      </c>
      <c r="X1" s="4" t="inlineStr">
        <is>
          <t>EP+INT6</t>
        </is>
      </c>
      <c r="Y1" s="18" t="inlineStr">
        <is>
          <t>EP AVRI</t>
        </is>
      </c>
      <c r="Z1" s="4" t="inlineStr">
        <is>
          <t>CUMUL8</t>
        </is>
      </c>
      <c r="AA1" s="4" t="inlineStr">
        <is>
          <t>EP+INT7</t>
        </is>
      </c>
      <c r="AB1" s="18" t="inlineStr">
        <is>
          <t>EP MAI</t>
        </is>
      </c>
      <c r="AC1" s="4" t="inlineStr">
        <is>
          <t>CUMUL9</t>
        </is>
      </c>
      <c r="AD1" s="4" t="inlineStr">
        <is>
          <t>EP+INT8</t>
        </is>
      </c>
      <c r="AE1" s="18" t="inlineStr">
        <is>
          <t>EP JUIN</t>
        </is>
      </c>
      <c r="AF1" s="4" t="inlineStr">
        <is>
          <t>CUMUL10</t>
        </is>
      </c>
      <c r="AG1" s="4" t="inlineStr">
        <is>
          <t>EP+INT9</t>
        </is>
      </c>
      <c r="AH1" s="18" t="inlineStr">
        <is>
          <t>EP JUILL</t>
        </is>
      </c>
      <c r="AI1" s="4" t="inlineStr">
        <is>
          <t>CUMUL11</t>
        </is>
      </c>
      <c r="AJ1" s="4" t="inlineStr">
        <is>
          <t>EP+INT94</t>
        </is>
      </c>
      <c r="AK1" s="20" t="inlineStr">
        <is>
          <t>EP TOTALE</t>
        </is>
      </c>
      <c r="AL1" s="4" t="inlineStr">
        <is>
          <t>INTERETS</t>
        </is>
      </c>
      <c r="AM1" s="4" t="inlineStr">
        <is>
          <t>N A P</t>
        </is>
      </c>
      <c r="AO1" s="41" t="inlineStr">
        <is>
          <t>N°</t>
        </is>
      </c>
      <c r="AP1" s="41" t="inlineStr">
        <is>
          <t>NOM</t>
        </is>
      </c>
      <c r="AQ1" s="41" t="inlineStr">
        <is>
          <t>EPARGNE</t>
        </is>
      </c>
      <c r="AR1" s="41" t="inlineStr">
        <is>
          <t>INTERET</t>
        </is>
      </c>
      <c r="AS1" s="41" t="inlineStr">
        <is>
          <t>TOTAL</t>
        </is>
      </c>
      <c r="AT1" s="41" t="n"/>
      <c r="AU1" s="41" t="inlineStr">
        <is>
          <t>REM PRETS</t>
        </is>
      </c>
    </row>
    <row r="2">
      <c r="A2" s="5" t="inlineStr">
        <is>
          <t>ABENG ZE Jean Claude</t>
        </is>
      </c>
      <c r="B2" s="28" t="n">
        <v>94000</v>
      </c>
      <c r="C2" s="5">
        <f>B2*(1+(#REF!)/(B$37))</f>
        <v/>
      </c>
      <c r="D2" s="28" t="n"/>
      <c r="E2" s="5">
        <f>+D2+C2</f>
        <v/>
      </c>
      <c r="F2" s="5">
        <f>+E2*(1+(#REF!)/(E$37))</f>
        <v/>
      </c>
      <c r="G2" s="28" t="n"/>
      <c r="H2" s="5">
        <f>+F2+G2</f>
        <v/>
      </c>
      <c r="I2" s="5">
        <f>+H2*(1+(#REF!)/(H$37))</f>
        <v/>
      </c>
      <c r="J2" s="28" t="n"/>
      <c r="K2" s="5">
        <f>+I2+J2</f>
        <v/>
      </c>
      <c r="L2" s="5">
        <f>+K2*(1+(#REF!)/(K$37))</f>
        <v/>
      </c>
      <c r="M2" s="28" t="n"/>
      <c r="N2" s="5">
        <f>+L2+M2</f>
        <v/>
      </c>
      <c r="O2" s="5">
        <f>+N2*(1+(#REF!)/(N$37))</f>
        <v/>
      </c>
      <c r="P2" s="28" t="n"/>
      <c r="Q2" s="5">
        <f>+O2+P2</f>
        <v/>
      </c>
      <c r="R2" s="5">
        <f>+Q2*(1+(#REF!)/(Q$37))</f>
        <v/>
      </c>
      <c r="S2" s="28" t="n"/>
      <c r="T2" s="5">
        <f>+R2+S2</f>
        <v/>
      </c>
      <c r="U2" s="5">
        <f>+T2*(1+(#REF!)/(T$37))</f>
        <v/>
      </c>
      <c r="V2" s="28" t="n"/>
      <c r="W2" s="5">
        <f>+U2+V2</f>
        <v/>
      </c>
      <c r="X2" s="5">
        <f>+W2*(1+(#REF!)/(W$37))</f>
        <v/>
      </c>
      <c r="Y2" s="28" t="n"/>
      <c r="Z2" s="5">
        <f>+X2+Y2</f>
        <v/>
      </c>
      <c r="AA2" s="5">
        <f>+Z2*(1+(#REF!)/(Z$37))</f>
        <v/>
      </c>
      <c r="AC2" s="5">
        <f>+AA2+AB2</f>
        <v/>
      </c>
      <c r="AD2" s="5">
        <f>+AC2*(1+(#REF!)/(AC$37))</f>
        <v/>
      </c>
      <c r="AF2" s="5">
        <f>+AD2+AE2</f>
        <v/>
      </c>
      <c r="AG2" s="5">
        <f>+AF2*(1+(#REF!)/(AF$37))</f>
        <v/>
      </c>
      <c r="AI2" s="5">
        <f>+AG2+AH2</f>
        <v/>
      </c>
      <c r="AJ2" s="28">
        <f>+AI2*(1+(#REF!)/(AI$37))</f>
        <v/>
      </c>
      <c r="AK2" s="27">
        <f>B2+D2+G2+J2+M2+P2+S2+V2+Y2+AB2+AE2+AH2</f>
        <v/>
      </c>
      <c r="AL2" s="34">
        <f>-AK2+AJ2</f>
        <v/>
      </c>
      <c r="AM2" s="37">
        <f>Tableau44[[#This Row],[EP TOTALE]]+Tableau44[[#This Row],[INTERETS]]</f>
        <v/>
      </c>
      <c r="AO2" s="42" t="n">
        <v>1</v>
      </c>
      <c r="AP2" s="43" t="inlineStr">
        <is>
          <t>ABENG ZE Jean Claude</t>
        </is>
      </c>
      <c r="AQ2" s="44" t="n">
        <v>94000</v>
      </c>
      <c r="AR2" s="44" t="n">
        <v>16106.29244323727</v>
      </c>
      <c r="AS2" s="44" t="n">
        <v>110106.2924432373</v>
      </c>
      <c r="AT2" s="44" t="n"/>
      <c r="AU2" s="42" t="n"/>
    </row>
    <row r="3">
      <c r="A3" s="5" t="inlineStr">
        <is>
          <t>BANGA NNA Israel</t>
        </is>
      </c>
      <c r="B3" s="28" t="n">
        <v>129000</v>
      </c>
      <c r="C3" s="5">
        <f>B3*(1+(#REF!)/(B$37))</f>
        <v/>
      </c>
      <c r="D3" s="28" t="n"/>
      <c r="E3" s="5">
        <f>+D3+C3</f>
        <v/>
      </c>
      <c r="F3" s="5">
        <f>+E3*(1+(#REF!)/(E$37))</f>
        <v/>
      </c>
      <c r="G3" s="28" t="n"/>
      <c r="H3" s="5">
        <f>+F3+G3</f>
        <v/>
      </c>
      <c r="I3" s="5">
        <f>+H3*(1+(#REF!)/(H$37))</f>
        <v/>
      </c>
      <c r="J3" s="28" t="n"/>
      <c r="K3" s="5">
        <f>+I3+J3</f>
        <v/>
      </c>
      <c r="L3" s="5">
        <f>+K3*(1+(#REF!)/(K$37))</f>
        <v/>
      </c>
      <c r="M3" s="28" t="n"/>
      <c r="N3" s="5">
        <f>+L3+M3</f>
        <v/>
      </c>
      <c r="O3" s="5">
        <f>+N3*(1+(#REF!)/(N$37))</f>
        <v/>
      </c>
      <c r="P3" s="28" t="n"/>
      <c r="Q3" s="5">
        <f>+O3+P3</f>
        <v/>
      </c>
      <c r="R3" s="5">
        <f>+Q3*(1+(#REF!)/(Q$37))</f>
        <v/>
      </c>
      <c r="S3" s="28" t="n"/>
      <c r="T3" s="5">
        <f>+R3+S3</f>
        <v/>
      </c>
      <c r="U3" s="5">
        <f>+T3*(1+(#REF!)/(T$37))</f>
        <v/>
      </c>
      <c r="V3" s="28" t="n"/>
      <c r="W3" s="5">
        <f>+U3+V3</f>
        <v/>
      </c>
      <c r="X3" s="5">
        <f>+W3*(1+(#REF!)/(W$37))</f>
        <v/>
      </c>
      <c r="Y3" s="28" t="n"/>
      <c r="Z3" s="5">
        <f>+X3+Y3</f>
        <v/>
      </c>
      <c r="AA3" s="5">
        <f>+Z3*(1+(#REF!)/(Z$37))</f>
        <v/>
      </c>
      <c r="AC3" s="5">
        <f>+AA3+AB3</f>
        <v/>
      </c>
      <c r="AD3" s="5">
        <f>+AC3*(1+(#REF!)/(AC$37))</f>
        <v/>
      </c>
      <c r="AF3" s="5">
        <f>+AD3+AE3</f>
        <v/>
      </c>
      <c r="AG3" s="5">
        <f>+AF3*(1+(#REF!)/(AF$37))</f>
        <v/>
      </c>
      <c r="AI3" s="5">
        <f>+AG3+AH3</f>
        <v/>
      </c>
      <c r="AJ3" s="28">
        <f>+AI3*(1+(#REF!)/(AI$37))</f>
        <v/>
      </c>
      <c r="AK3" s="27">
        <f>B3+D3+G3+J3+M3+P3+S3+V3+Y3+AB3+AE3+AH3</f>
        <v/>
      </c>
      <c r="AL3" s="34">
        <f>-AK3+AJ3</f>
        <v/>
      </c>
      <c r="AM3" s="37">
        <f>Tableau44[[#This Row],[EP TOTALE]]+Tableau44[[#This Row],[INTERETS]]</f>
        <v/>
      </c>
      <c r="AO3" s="42" t="n">
        <v>2</v>
      </c>
      <c r="AP3" s="42" t="inlineStr">
        <is>
          <t>BANGA NNA Israel</t>
        </is>
      </c>
      <c r="AQ3" s="44" t="n">
        <v>329000</v>
      </c>
      <c r="AR3" s="44" t="n">
        <v>49454.33136205905</v>
      </c>
      <c r="AS3" s="44" t="n">
        <v>378454.331362059</v>
      </c>
      <c r="AT3" s="44" t="n"/>
      <c r="AU3" s="42" t="n"/>
    </row>
    <row r="4">
      <c r="A4" s="5" t="inlineStr">
        <is>
          <t>BISSAI BI NOMBO Fabrice</t>
        </is>
      </c>
      <c r="B4" s="28" t="n">
        <v>107000</v>
      </c>
      <c r="C4" s="5">
        <f>B4*(1+(#REF!)/(B$37))</f>
        <v/>
      </c>
      <c r="D4" s="28" t="n"/>
      <c r="E4" s="5">
        <f>+D4+C4</f>
        <v/>
      </c>
      <c r="F4" s="5">
        <f>+E4*(1+(#REF!)/(E$37))</f>
        <v/>
      </c>
      <c r="G4" s="28" t="n"/>
      <c r="H4" s="5">
        <f>+F4+G4</f>
        <v/>
      </c>
      <c r="I4" s="5">
        <f>+H4*(1+(#REF!)/(H$37))</f>
        <v/>
      </c>
      <c r="J4" s="28" t="n"/>
      <c r="K4" s="5">
        <f>+I4+J4</f>
        <v/>
      </c>
      <c r="L4" s="5">
        <f>+K4*(1+(#REF!)/(K$37))</f>
        <v/>
      </c>
      <c r="M4" s="28" t="n">
        <v>7000</v>
      </c>
      <c r="N4" s="5">
        <f>+L4+M4</f>
        <v/>
      </c>
      <c r="O4" s="5">
        <f>+N4*(1+(#REF!)/(N$37))</f>
        <v/>
      </c>
      <c r="P4" s="28" t="n">
        <v>7000</v>
      </c>
      <c r="Q4" s="5">
        <f>+O4+P4</f>
        <v/>
      </c>
      <c r="R4" s="5">
        <f>+Q4*(1+(#REF!)/(Q$37))</f>
        <v/>
      </c>
      <c r="S4" s="28" t="n">
        <v>7000</v>
      </c>
      <c r="T4" s="5">
        <f>+R4+S4</f>
        <v/>
      </c>
      <c r="U4" s="5">
        <f>+T4*(1+(#REF!)/(T$37))</f>
        <v/>
      </c>
      <c r="V4" s="28" t="n">
        <v>7000</v>
      </c>
      <c r="W4" s="5">
        <f>+U4+V4</f>
        <v/>
      </c>
      <c r="X4" s="5">
        <f>+W4*(1+(#REF!)/(W$37))</f>
        <v/>
      </c>
      <c r="Y4" s="28" t="n"/>
      <c r="Z4" s="5">
        <f>+X4+Y4</f>
        <v/>
      </c>
      <c r="AA4" s="5">
        <f>+Z4*(1+(#REF!)/(Z$37))</f>
        <v/>
      </c>
      <c r="AC4" s="5">
        <f>+AA4+AB4</f>
        <v/>
      </c>
      <c r="AD4" s="5">
        <f>+AC4*(1+(#REF!)/(AC$37))</f>
        <v/>
      </c>
      <c r="AE4" s="5" t="n">
        <v>8000</v>
      </c>
      <c r="AF4" s="5">
        <f>+AD4+AE4</f>
        <v/>
      </c>
      <c r="AG4" s="5">
        <f>+AF4*(1+(#REF!)/(AF$37))</f>
        <v/>
      </c>
      <c r="AI4" s="5">
        <f>+AG4+AH4</f>
        <v/>
      </c>
      <c r="AJ4" s="28">
        <f>+AI4*(1+(#REF!)/(AI$37))</f>
        <v/>
      </c>
      <c r="AK4" s="27">
        <f>B4+D4+G4+J4+M4+P4+S4+V4+Y4+AB4+AE4+AH4</f>
        <v/>
      </c>
      <c r="AL4" s="34">
        <f>-AK4+AJ4</f>
        <v/>
      </c>
      <c r="AM4" s="37">
        <f>Tableau44[[#This Row],[EP TOTALE]]+Tableau44[[#This Row],[INTERETS]]</f>
        <v/>
      </c>
      <c r="AO4" s="42" t="n">
        <v>3</v>
      </c>
      <c r="AP4" s="43" t="inlineStr">
        <is>
          <t>BISSAI BI NOMBO Fabrice</t>
        </is>
      </c>
      <c r="AQ4" s="44" t="n">
        <v>213000</v>
      </c>
      <c r="AR4" s="44" t="n">
        <v>31852.67328778913</v>
      </c>
      <c r="AS4" s="44" t="n">
        <v>244852.6732877891</v>
      </c>
      <c r="AT4" s="44" t="n"/>
      <c r="AU4" s="42" t="n"/>
    </row>
    <row r="5">
      <c r="A5" s="5" t="inlineStr">
        <is>
          <t>BOMBA FOUDA Mathieu</t>
        </is>
      </c>
      <c r="B5" s="28" t="n">
        <v>94000</v>
      </c>
      <c r="C5" s="5">
        <f>B5*(1+(#REF!)/(B$37))</f>
        <v/>
      </c>
      <c r="D5" s="28" t="n"/>
      <c r="E5" s="5">
        <f>+D5+C5</f>
        <v/>
      </c>
      <c r="F5" s="5">
        <f>+E5*(1+(#REF!)/(E$37))</f>
        <v/>
      </c>
      <c r="G5" s="28" t="n"/>
      <c r="H5" s="5">
        <f>+F5+G5</f>
        <v/>
      </c>
      <c r="I5" s="5">
        <f>+H5*(1+(#REF!)/(H$37))</f>
        <v/>
      </c>
      <c r="J5" s="28" t="n"/>
      <c r="K5" s="5">
        <f>+I5+J5</f>
        <v/>
      </c>
      <c r="L5" s="5">
        <f>+K5*(1+(#REF!)/(K$37))</f>
        <v/>
      </c>
      <c r="M5" s="28" t="n"/>
      <c r="N5" s="5">
        <f>+L5+M5</f>
        <v/>
      </c>
      <c r="O5" s="5">
        <f>+N5*(1+(#REF!)/(N$37))</f>
        <v/>
      </c>
      <c r="P5" s="28" t="n"/>
      <c r="Q5" s="5">
        <f>+O5+P5</f>
        <v/>
      </c>
      <c r="R5" s="5">
        <f>+Q5*(1+(#REF!)/(Q$37))</f>
        <v/>
      </c>
      <c r="S5" s="28" t="n"/>
      <c r="T5" s="5">
        <f>+R5+S5</f>
        <v/>
      </c>
      <c r="U5" s="5">
        <f>+T5*(1+(#REF!)/(T$37))</f>
        <v/>
      </c>
      <c r="V5" s="28" t="n"/>
      <c r="W5" s="5">
        <f>+U5+V5</f>
        <v/>
      </c>
      <c r="X5" s="5">
        <f>+W5*(1+(#REF!)/(W$37))</f>
        <v/>
      </c>
      <c r="Y5" s="28" t="n"/>
      <c r="Z5" s="5">
        <f>+X5+Y5</f>
        <v/>
      </c>
      <c r="AA5" s="5">
        <f>+Z5*(1+(#REF!)/(Z$37))</f>
        <v/>
      </c>
      <c r="AC5" s="5">
        <f>+AA5+AB5</f>
        <v/>
      </c>
      <c r="AD5" s="5">
        <f>+AC5*(1+(#REF!)/(AC$37))</f>
        <v/>
      </c>
      <c r="AE5" s="5" t="n">
        <v>8000</v>
      </c>
      <c r="AF5" s="5">
        <f>+AD5+AE5</f>
        <v/>
      </c>
      <c r="AG5" s="5">
        <f>+AF5*(1+(#REF!)/(AF$37))</f>
        <v/>
      </c>
      <c r="AI5" s="5">
        <f>+AG5+AH5</f>
        <v/>
      </c>
      <c r="AJ5" s="28">
        <f>+AI5*(1+(#REF!)/(AI$37))</f>
        <v/>
      </c>
      <c r="AK5" s="27">
        <f>B5+D5+G5+J5+M5+P5+S5+V5+Y5+AB5+AE5+AH5</f>
        <v/>
      </c>
      <c r="AL5" s="34">
        <f>-AK5+AJ5</f>
        <v/>
      </c>
      <c r="AM5" s="37">
        <f>Tableau44[[#This Row],[EP TOTALE]]+Tableau44[[#This Row],[INTERETS]]</f>
        <v/>
      </c>
      <c r="AO5" s="42" t="n">
        <v>4</v>
      </c>
      <c r="AP5" s="42" t="inlineStr">
        <is>
          <t>BOMBA FOUDA Mathieu</t>
        </is>
      </c>
      <c r="AQ5" s="44" t="n">
        <v>102000</v>
      </c>
      <c r="AR5" s="44" t="n">
        <v>16244.38513880565</v>
      </c>
      <c r="AS5" s="44" t="n">
        <v>118244.3851388057</v>
      </c>
      <c r="AT5" s="44" t="n"/>
      <c r="AU5" s="42" t="n"/>
    </row>
    <row r="6">
      <c r="A6" s="5" t="inlineStr">
        <is>
          <t>EBOGO BIKOULA Gilbert</t>
        </is>
      </c>
      <c r="B6" s="28" t="n">
        <v>100000</v>
      </c>
      <c r="C6" s="5">
        <f>B6*(1+(#REF!)/(B$37))</f>
        <v/>
      </c>
      <c r="D6" s="28" t="n"/>
      <c r="E6" s="5">
        <f>+D6+C6</f>
        <v/>
      </c>
      <c r="F6" s="5">
        <f>+E6*(1+(#REF!)/(E$37))</f>
        <v/>
      </c>
      <c r="G6" s="28" t="n"/>
      <c r="H6" s="5">
        <f>+F6+G6</f>
        <v/>
      </c>
      <c r="I6" s="5">
        <f>+H6*(1+(#REF!)/(H$37))</f>
        <v/>
      </c>
      <c r="J6" s="28" t="n"/>
      <c r="K6" s="5">
        <f>+I6+J6</f>
        <v/>
      </c>
      <c r="L6" s="5">
        <f>+K6*(1+(#REF!)/(K$37))</f>
        <v/>
      </c>
      <c r="M6" s="28" t="n"/>
      <c r="N6" s="5">
        <f>+L6+M6</f>
        <v/>
      </c>
      <c r="O6" s="5">
        <f>+N6*(1+(#REF!)/(N$37))</f>
        <v/>
      </c>
      <c r="P6" s="28" t="n"/>
      <c r="Q6" s="5">
        <f>+O6+P6</f>
        <v/>
      </c>
      <c r="R6" s="5">
        <f>+Q6*(1+(#REF!)/(Q$37))</f>
        <v/>
      </c>
      <c r="S6" s="28" t="n"/>
      <c r="T6" s="5">
        <f>+R6+S6</f>
        <v/>
      </c>
      <c r="U6" s="5">
        <f>+T6*(1+(#REF!)/(T$37))</f>
        <v/>
      </c>
      <c r="V6" s="28" t="n"/>
      <c r="W6" s="5">
        <f>+U6+V6</f>
        <v/>
      </c>
      <c r="X6" s="5">
        <f>+W6*(1+(#REF!)/(W$37))</f>
        <v/>
      </c>
      <c r="Y6" s="28" t="n"/>
      <c r="Z6" s="5">
        <f>+X6+Y6</f>
        <v/>
      </c>
      <c r="AA6" s="5">
        <f>+Z6*(1+(#REF!)/(Z$37))</f>
        <v/>
      </c>
      <c r="AC6" s="5">
        <f>+AA6+AB6</f>
        <v/>
      </c>
      <c r="AD6" s="5">
        <f>+AC6*(1+(#REF!)/(AC$37))</f>
        <v/>
      </c>
      <c r="AF6" s="5">
        <f>+AD6+AE6</f>
        <v/>
      </c>
      <c r="AG6" s="5">
        <f>+AF6*(1+(#REF!)/(AF$37))</f>
        <v/>
      </c>
      <c r="AI6" s="5">
        <f>+AG6+AH6</f>
        <v/>
      </c>
      <c r="AJ6" s="28">
        <f>+AI6*(1+(#REF!)/(AI$37))</f>
        <v/>
      </c>
      <c r="AK6" s="27">
        <f>B6+D6+G6+J6+M6+P6+S6+V6+Y6+AB6+AE6+AH6</f>
        <v/>
      </c>
      <c r="AL6" s="34">
        <f>-AK6+AJ6</f>
        <v/>
      </c>
      <c r="AM6" s="37">
        <f>Tableau44[[#This Row],[EP TOTALE]]+Tableau44[[#This Row],[INTERETS]]</f>
        <v/>
      </c>
      <c r="AO6" s="42" t="n">
        <v>5</v>
      </c>
      <c r="AP6" s="43" t="inlineStr">
        <is>
          <t>EBOGO BIKOULA Gilbert</t>
        </is>
      </c>
      <c r="AQ6" s="44" t="n">
        <v>100000</v>
      </c>
      <c r="AR6" s="44" t="n">
        <v>17134.3536630184</v>
      </c>
      <c r="AS6" s="44" t="n">
        <v>117134.3536630184</v>
      </c>
      <c r="AT6" s="44" t="n"/>
      <c r="AU6" s="42" t="n"/>
    </row>
    <row r="7">
      <c r="A7" s="5" t="inlineStr">
        <is>
          <t>ESSALA Etienne</t>
        </is>
      </c>
      <c r="B7" s="28" t="n">
        <v>160000</v>
      </c>
      <c r="C7" s="5">
        <f>B7*(1+(#REF!)/(B$37))</f>
        <v/>
      </c>
      <c r="D7" s="28" t="n"/>
      <c r="E7" s="5">
        <f>+D7+C7</f>
        <v/>
      </c>
      <c r="F7" s="5">
        <f>+E7*(1+(#REF!)/(E$37))</f>
        <v/>
      </c>
      <c r="G7" s="28" t="n"/>
      <c r="H7" s="5">
        <f>+F7+G7</f>
        <v/>
      </c>
      <c r="I7" s="5">
        <f>+H7*(1+(#REF!)/(H$37))</f>
        <v/>
      </c>
      <c r="J7" s="28" t="n"/>
      <c r="K7" s="5">
        <f>+I7+J7</f>
        <v/>
      </c>
      <c r="L7" s="5">
        <f>+K7*(1+(#REF!)/(K$37))</f>
        <v/>
      </c>
      <c r="M7" s="28" t="n"/>
      <c r="N7" s="5">
        <f>+L7+M7</f>
        <v/>
      </c>
      <c r="O7" s="5">
        <f>+N7*(1+(#REF!)/(N$37))</f>
        <v/>
      </c>
      <c r="P7" s="28" t="n">
        <v>10000</v>
      </c>
      <c r="Q7" s="5">
        <f>+O7+P7</f>
        <v/>
      </c>
      <c r="R7" s="5">
        <f>+Q7*(1+(#REF!)/(Q$37))</f>
        <v/>
      </c>
      <c r="S7" s="28" t="n">
        <v>50000</v>
      </c>
      <c r="T7" s="5">
        <f>+R7+S7</f>
        <v/>
      </c>
      <c r="U7" s="5">
        <f>+T7*(1+(#REF!)/(T$37))</f>
        <v/>
      </c>
      <c r="V7" s="28" t="n">
        <v>35000</v>
      </c>
      <c r="W7" s="5">
        <f>+U7+V7</f>
        <v/>
      </c>
      <c r="X7" s="5">
        <f>+W7*(1+(#REF!)/(W$37))</f>
        <v/>
      </c>
      <c r="Y7" s="28" t="n"/>
      <c r="Z7" s="5">
        <f>+X7+Y7</f>
        <v/>
      </c>
      <c r="AA7" s="5">
        <f>+Z7*(1+(#REF!)/(Z$37))</f>
        <v/>
      </c>
      <c r="AB7" s="5" t="n">
        <v>50000</v>
      </c>
      <c r="AC7" s="5">
        <f>+AA7+AB7</f>
        <v/>
      </c>
      <c r="AD7" s="5">
        <f>+AC7*(1+(#REF!)/(AC$37))</f>
        <v/>
      </c>
      <c r="AF7" s="5">
        <f>+AD7+AE7</f>
        <v/>
      </c>
      <c r="AG7" s="5">
        <f>+AF7*(1+(#REF!)/(AF$37))</f>
        <v/>
      </c>
      <c r="AI7" s="5">
        <f>+AG7+AH7</f>
        <v/>
      </c>
      <c r="AJ7" s="28">
        <f>+AI7*(1+(#REF!)/(AI$37))</f>
        <v/>
      </c>
      <c r="AK7" s="27">
        <f>B7+D7+G7+J7+M7+P7+S7+V7+Y7+AB7+AE7+AH7</f>
        <v/>
      </c>
      <c r="AL7" s="34">
        <f>-AK7+AJ7</f>
        <v/>
      </c>
      <c r="AM7" s="37">
        <f>Tableau44[[#This Row],[EP TOTALE]]+Tableau44[[#This Row],[INTERETS]]</f>
        <v/>
      </c>
      <c r="AO7" s="42" t="n">
        <v>6</v>
      </c>
      <c r="AP7" s="42" t="inlineStr">
        <is>
          <t>ESSALA Etienne</t>
        </is>
      </c>
      <c r="AQ7" s="44" t="n">
        <v>345000</v>
      </c>
      <c r="AR7" s="44" t="n">
        <v>41399.47905695427</v>
      </c>
      <c r="AS7" s="44" t="n">
        <v>386399.4790569543</v>
      </c>
      <c r="AT7" s="44" t="n"/>
      <c r="AU7" s="42" t="n"/>
    </row>
    <row r="8">
      <c r="A8" s="5" t="inlineStr">
        <is>
          <t>ETOA Yves</t>
        </is>
      </c>
      <c r="B8" s="28" t="n">
        <v>100000</v>
      </c>
      <c r="C8" s="5">
        <f>B8*(1+(#REF!)/(B$37))</f>
        <v/>
      </c>
      <c r="D8" s="28" t="n"/>
      <c r="E8" s="5">
        <f>+D8+C8</f>
        <v/>
      </c>
      <c r="F8" s="5">
        <f>+E8*(1+(#REF!)/(E$37))</f>
        <v/>
      </c>
      <c r="G8" s="28" t="n"/>
      <c r="H8" s="5">
        <f>+F8+G8</f>
        <v/>
      </c>
      <c r="I8" s="5">
        <f>+H8*(1+(#REF!)/(H$37))</f>
        <v/>
      </c>
      <c r="J8" s="28" t="n"/>
      <c r="K8" s="5">
        <f>+I8+J8</f>
        <v/>
      </c>
      <c r="L8" s="5">
        <f>+K8*(1+(#REF!)/(K$37))</f>
        <v/>
      </c>
      <c r="M8" s="28" t="n">
        <v>50000</v>
      </c>
      <c r="N8" s="5">
        <f>+L8+M8</f>
        <v/>
      </c>
      <c r="O8" s="5">
        <f>+N8*(1+(#REF!)/(N$37))</f>
        <v/>
      </c>
      <c r="P8" s="28" t="n">
        <v>130000</v>
      </c>
      <c r="Q8" s="5">
        <f>+O8+P8</f>
        <v/>
      </c>
      <c r="R8" s="5">
        <f>+Q8*(1+(#REF!)/(Q$37))</f>
        <v/>
      </c>
      <c r="S8" s="28" t="n">
        <v>50000</v>
      </c>
      <c r="T8" s="5">
        <f>+R8+S8</f>
        <v/>
      </c>
      <c r="U8" s="5">
        <f>+T8*(1+(#REF!)/(T$37))</f>
        <v/>
      </c>
      <c r="V8" s="28" t="n">
        <v>1250000</v>
      </c>
      <c r="W8" s="5">
        <f>+U8+V8</f>
        <v/>
      </c>
      <c r="X8" s="5">
        <f>+W8*(1+(#REF!)/(W$37))</f>
        <v/>
      </c>
      <c r="Y8" s="28" t="n">
        <v>100000</v>
      </c>
      <c r="Z8" s="5">
        <f>+X8+Y8</f>
        <v/>
      </c>
      <c r="AA8" s="5">
        <f>+Z8*(1+(#REF!)/(Z$37))</f>
        <v/>
      </c>
      <c r="AB8" s="5" t="n">
        <v>100000</v>
      </c>
      <c r="AC8" s="5">
        <f>+AA8+AB8</f>
        <v/>
      </c>
      <c r="AD8" s="5">
        <f>+AC8*(1+(#REF!)/(AC$37))</f>
        <v/>
      </c>
      <c r="AE8" s="5" t="n">
        <v>150000</v>
      </c>
      <c r="AF8" s="5">
        <f>+AD8+AE8</f>
        <v/>
      </c>
      <c r="AG8" s="5">
        <f>+AF8*(1+(#REF!)/(AF$37))</f>
        <v/>
      </c>
      <c r="AI8" s="5">
        <f>+AG8+AH8</f>
        <v/>
      </c>
      <c r="AJ8" s="28">
        <f>+AI8*(1+(#REF!)/(AI$37))</f>
        <v/>
      </c>
      <c r="AK8" s="27">
        <f>B8+D8+G8+J8+M8+P8+S8+V8+Y8+AB8+AE8+AH8</f>
        <v/>
      </c>
      <c r="AL8" s="34">
        <f>-AK8+AJ8</f>
        <v/>
      </c>
      <c r="AM8" s="37">
        <f>Tableau44[[#This Row],[EP TOTALE]]+Tableau44[[#This Row],[INTERETS]]</f>
        <v/>
      </c>
      <c r="AO8" s="42" t="n">
        <v>7</v>
      </c>
      <c r="AP8" s="43" t="inlineStr">
        <is>
          <t>ETOA Yves</t>
        </is>
      </c>
      <c r="AQ8" s="44" t="n">
        <v>3356100</v>
      </c>
      <c r="AR8" s="44" t="n">
        <v>314209.2110128971</v>
      </c>
      <c r="AS8" s="44" t="n">
        <v>3670309.211012897</v>
      </c>
      <c r="AT8" s="44" t="n"/>
      <c r="AU8" s="42" t="n"/>
    </row>
    <row r="9">
      <c r="A9" s="5" t="inlineStr">
        <is>
          <t>EWALA Jacques Philippe</t>
        </is>
      </c>
      <c r="B9" s="28" t="n">
        <v>19000</v>
      </c>
      <c r="C9" s="5">
        <f>B9*(1+(#REF!)/(B$37))</f>
        <v/>
      </c>
      <c r="D9" s="28" t="n"/>
      <c r="E9" s="5">
        <f>+D9+C9</f>
        <v/>
      </c>
      <c r="F9" s="5">
        <f>+E9*(1+(#REF!)/(E$37))</f>
        <v/>
      </c>
      <c r="G9" s="28" t="n"/>
      <c r="H9" s="5">
        <f>+F9+G9</f>
        <v/>
      </c>
      <c r="I9" s="5">
        <f>+H9*(1+(#REF!)/(H$37))</f>
        <v/>
      </c>
      <c r="J9" s="28" t="n"/>
      <c r="K9" s="5">
        <f>+I9+J9</f>
        <v/>
      </c>
      <c r="L9" s="5">
        <f>+K9*(1+(#REF!)/(K$37))</f>
        <v/>
      </c>
      <c r="M9" s="28" t="n"/>
      <c r="N9" s="5">
        <f>+L9+M9</f>
        <v/>
      </c>
      <c r="O9" s="5">
        <f>+N9*(1+(#REF!)/(N$37))</f>
        <v/>
      </c>
      <c r="P9" s="28" t="n"/>
      <c r="Q9" s="5">
        <f>+O9+P9</f>
        <v/>
      </c>
      <c r="R9" s="5">
        <f>+Q9*(1+(#REF!)/(Q$37))</f>
        <v/>
      </c>
      <c r="S9" s="28" t="n"/>
      <c r="T9" s="5">
        <f>+R9+S9</f>
        <v/>
      </c>
      <c r="U9" s="5">
        <f>+T9*(1+(#REF!)/(T$37))</f>
        <v/>
      </c>
      <c r="V9" s="28" t="n"/>
      <c r="W9" s="5">
        <f>+U9+V9</f>
        <v/>
      </c>
      <c r="X9" s="5">
        <f>+W9*(1+(#REF!)/(W$37))</f>
        <v/>
      </c>
      <c r="Y9" s="28" t="n"/>
      <c r="Z9" s="5">
        <f>+X9+Y9</f>
        <v/>
      </c>
      <c r="AA9" s="5">
        <f>+Z9*(1+(#REF!)/(Z$37))</f>
        <v/>
      </c>
      <c r="AB9" s="5" t="n">
        <v>0</v>
      </c>
      <c r="AC9" s="5">
        <f>+AA9+AB9</f>
        <v/>
      </c>
      <c r="AD9" s="5">
        <f>+AC9*(1+(#REF!)/(AC$37))</f>
        <v/>
      </c>
      <c r="AF9" s="5">
        <f>+AD9+AE9</f>
        <v/>
      </c>
      <c r="AG9" s="5">
        <f>+AF9*(1+(#REF!)/(AF$37))</f>
        <v/>
      </c>
      <c r="AI9" s="5">
        <f>+AG9+AH9</f>
        <v/>
      </c>
      <c r="AJ9" s="28">
        <f>+AI9*(1+(#REF!)/(AI$37))</f>
        <v/>
      </c>
      <c r="AK9" s="27">
        <f>B9+D9+G9+J9+M9+P9+S9+V9+Y9+AB9+AE9+AH9</f>
        <v/>
      </c>
      <c r="AL9" s="34">
        <f>-AK9+AJ9</f>
        <v/>
      </c>
      <c r="AM9" s="37">
        <f>Tableau44[[#This Row],[EP TOTALE]]+Tableau44[[#This Row],[INTERETS]]</f>
        <v/>
      </c>
      <c r="AO9" s="42" t="n">
        <v>8</v>
      </c>
      <c r="AP9" s="42" t="inlineStr">
        <is>
          <t>EWALA Jacques Philippe</t>
        </is>
      </c>
      <c r="AQ9" s="44" t="n">
        <v>100000</v>
      </c>
      <c r="AR9" s="44" t="n">
        <v>16306.53573870829</v>
      </c>
      <c r="AS9" s="44" t="n">
        <v>116306.5357387083</v>
      </c>
      <c r="AT9" s="44" t="n"/>
      <c r="AU9" s="42" t="n"/>
    </row>
    <row r="10">
      <c r="A10" s="5" t="inlineStr">
        <is>
          <t>FOTUE KAMGUE Kevin</t>
        </is>
      </c>
      <c r="B10" s="28" t="n">
        <v>100000</v>
      </c>
      <c r="C10" s="5">
        <f>B10*(1+(#REF!)/(B$37))</f>
        <v/>
      </c>
      <c r="D10" s="28" t="n"/>
      <c r="E10" s="5">
        <f>+D10+C10</f>
        <v/>
      </c>
      <c r="F10" s="5">
        <f>+E10*(1+(#REF!)/(E$37))</f>
        <v/>
      </c>
      <c r="G10" s="28" t="n"/>
      <c r="H10" s="5">
        <f>+F10+G10</f>
        <v/>
      </c>
      <c r="I10" s="5">
        <f>+H10*(1+(#REF!)/(H$37))</f>
        <v/>
      </c>
      <c r="J10" s="28" t="n"/>
      <c r="K10" s="5">
        <f>+I10+J10</f>
        <v/>
      </c>
      <c r="L10" s="5">
        <f>+K10*(1+(#REF!)/(K$37))</f>
        <v/>
      </c>
      <c r="M10" s="28" t="n"/>
      <c r="N10" s="5">
        <f>+L10+M10</f>
        <v/>
      </c>
      <c r="O10" s="5">
        <f>+N10*(1+(#REF!)/(N$37))</f>
        <v/>
      </c>
      <c r="P10" s="28" t="n"/>
      <c r="Q10" s="5">
        <f>+O10+P10</f>
        <v/>
      </c>
      <c r="R10" s="5">
        <f>+Q10*(1+(#REF!)/(Q$37))</f>
        <v/>
      </c>
      <c r="S10" s="28" t="n"/>
      <c r="T10" s="5">
        <f>+R10+S10</f>
        <v/>
      </c>
      <c r="U10" s="5">
        <f>+T10*(1+(#REF!)/(T$37))</f>
        <v/>
      </c>
      <c r="V10" s="28" t="n"/>
      <c r="W10" s="5">
        <f>+U10+V10</f>
        <v/>
      </c>
      <c r="X10" s="5">
        <f>+W10*(1+(#REF!)/(W$37))</f>
        <v/>
      </c>
      <c r="Y10" s="28" t="n"/>
      <c r="Z10" s="5">
        <f>+X10+Y10</f>
        <v/>
      </c>
      <c r="AA10" s="5">
        <f>+Z10*(1+(#REF!)/(Z$37))</f>
        <v/>
      </c>
      <c r="AC10" s="5">
        <f>+AA10+AB10</f>
        <v/>
      </c>
      <c r="AD10" s="5">
        <f>+AC10*(1+(#REF!)/(AC$37))</f>
        <v/>
      </c>
      <c r="AF10" s="5">
        <f>+AD10+AE10</f>
        <v/>
      </c>
      <c r="AG10" s="5">
        <f>+AF10*(1+(#REF!)/(AF$37))</f>
        <v/>
      </c>
      <c r="AI10" s="5">
        <f>+AG10+AH10</f>
        <v/>
      </c>
      <c r="AJ10" s="28">
        <f>+AI10*(1+(#REF!)/(AI$37))</f>
        <v/>
      </c>
      <c r="AK10" s="27">
        <f>B10+D10+G10+J10+M10+P10+S10+V10+Y10+AB10+AE10+AH10</f>
        <v/>
      </c>
      <c r="AL10" s="34">
        <f>-AK10+AJ10</f>
        <v/>
      </c>
      <c r="AM10" s="37">
        <f>Tableau44[[#This Row],[EP TOTALE]]+Tableau44[[#This Row],[INTERETS]]</f>
        <v/>
      </c>
      <c r="AO10" s="42" t="n">
        <v>9</v>
      </c>
      <c r="AP10" s="43" t="inlineStr">
        <is>
          <t>FOTUE KAMGUE Kevin</t>
        </is>
      </c>
      <c r="AQ10" s="44" t="n">
        <v>100000</v>
      </c>
      <c r="AR10" s="44" t="n">
        <v>17134.3536630184</v>
      </c>
      <c r="AS10" s="44" t="n">
        <v>117134.3536630184</v>
      </c>
      <c r="AT10" s="44" t="n"/>
      <c r="AU10" s="42" t="n"/>
    </row>
    <row r="11">
      <c r="A11" s="5" t="inlineStr">
        <is>
          <t>IPOULE Michel Landry</t>
        </is>
      </c>
      <c r="B11" s="28" t="n">
        <v>94000</v>
      </c>
      <c r="C11" s="5">
        <f>B11*(1+(#REF!)/(B$37))</f>
        <v/>
      </c>
      <c r="D11" s="28" t="n"/>
      <c r="E11" s="5">
        <f>+D11+C11</f>
        <v/>
      </c>
      <c r="F11" s="5">
        <f>+E11*(1+(#REF!)/(E$37))</f>
        <v/>
      </c>
      <c r="G11" s="28" t="n"/>
      <c r="H11" s="5">
        <f>+F11+G11</f>
        <v/>
      </c>
      <c r="I11" s="5">
        <f>+H11*(1+(#REF!)/(H$37))</f>
        <v/>
      </c>
      <c r="J11" s="28" t="n"/>
      <c r="K11" s="5">
        <f>+I11+J11</f>
        <v/>
      </c>
      <c r="L11" s="5">
        <f>+K11*(1+(#REF!)/(K$37))</f>
        <v/>
      </c>
      <c r="M11" s="28" t="n"/>
      <c r="N11" s="5">
        <f>+L11+M11</f>
        <v/>
      </c>
      <c r="O11" s="5">
        <f>+N11*(1+(#REF!)/(N$37))</f>
        <v/>
      </c>
      <c r="P11" s="28" t="n"/>
      <c r="Q11" s="5">
        <f>+O11+P11</f>
        <v/>
      </c>
      <c r="R11" s="5">
        <f>+Q11*(1+(#REF!)/(Q$37))</f>
        <v/>
      </c>
      <c r="S11" s="28" t="n"/>
      <c r="T11" s="5">
        <f>+R11+S11</f>
        <v/>
      </c>
      <c r="U11" s="5">
        <f>+T11*(1+(#REF!)/(T$37))</f>
        <v/>
      </c>
      <c r="V11" s="28" t="n"/>
      <c r="W11" s="5">
        <f>+U11+V11</f>
        <v/>
      </c>
      <c r="X11" s="5">
        <f>+W11*(1+(#REF!)/(W$37))</f>
        <v/>
      </c>
      <c r="Y11" s="28" t="n"/>
      <c r="Z11" s="5">
        <f>+X11+Y11</f>
        <v/>
      </c>
      <c r="AA11" s="5">
        <f>+Z11*(1+(#REF!)/(Z$37))</f>
        <v/>
      </c>
      <c r="AB11" s="5" t="n">
        <v>6000</v>
      </c>
      <c r="AC11" s="5">
        <f>+AA11+AB11</f>
        <v/>
      </c>
      <c r="AD11" s="5">
        <f>+AC11*(1+(#REF!)/(AC$37))</f>
        <v/>
      </c>
      <c r="AF11" s="5">
        <f>+AD11+AE11</f>
        <v/>
      </c>
      <c r="AG11" s="5">
        <f>+AF11*(1+(#REF!)/(AF$37))</f>
        <v/>
      </c>
      <c r="AI11" s="5">
        <f>+AG11+AH11</f>
        <v/>
      </c>
      <c r="AJ11" s="28">
        <f>+AI11*(1+(#REF!)/(AI$37))</f>
        <v/>
      </c>
      <c r="AK11" s="27">
        <f>B11+D11+G11+J11+M11+P11+S11+V11+Y11+AB11+AE11+AH11</f>
        <v/>
      </c>
      <c r="AL11" s="34">
        <f>-AK11+AJ11</f>
        <v/>
      </c>
      <c r="AM11" s="37">
        <f>Tableau44[[#This Row],[EP TOTALE]]+Tableau44[[#This Row],[INTERETS]]</f>
        <v/>
      </c>
      <c r="AO11" s="42" t="n">
        <v>10</v>
      </c>
      <c r="AP11" s="42" t="inlineStr">
        <is>
          <t>IPOULE Michel Landry</t>
        </is>
      </c>
      <c r="AQ11" s="44" t="n">
        <v>100000</v>
      </c>
      <c r="AR11" s="44" t="n">
        <v>16315.0753305652</v>
      </c>
      <c r="AS11" s="44" t="n">
        <v>116315.0753305652</v>
      </c>
      <c r="AT11" s="44" t="n"/>
      <c r="AU11" s="42" t="n"/>
    </row>
    <row r="12">
      <c r="A12" s="5" t="inlineStr">
        <is>
          <t>ITOP Samuel</t>
        </is>
      </c>
      <c r="B12" s="28" t="n">
        <v>200000</v>
      </c>
      <c r="C12" s="5">
        <f>B12*(1+(#REF!)/(B$37))</f>
        <v/>
      </c>
      <c r="D12" s="28" t="n"/>
      <c r="E12" s="5">
        <f>+D12+C12</f>
        <v/>
      </c>
      <c r="F12" s="5">
        <f>+E12*(1+(#REF!)/(E$37))</f>
        <v/>
      </c>
      <c r="G12" s="28" t="n"/>
      <c r="H12" s="5">
        <f>+F12+G12</f>
        <v/>
      </c>
      <c r="I12" s="5">
        <f>+H12*(1+(#REF!)/(H$37))</f>
        <v/>
      </c>
      <c r="J12" s="28" t="n"/>
      <c r="K12" s="5">
        <f>+I12+J12</f>
        <v/>
      </c>
      <c r="L12" s="5">
        <f>+K12*(1+(#REF!)/(K$37))</f>
        <v/>
      </c>
      <c r="M12" s="28" t="n">
        <v>100000</v>
      </c>
      <c r="N12" s="5">
        <f>+L12+M12</f>
        <v/>
      </c>
      <c r="O12" s="5">
        <f>+N12*(1+(#REF!)/(N$37))</f>
        <v/>
      </c>
      <c r="P12" s="28" t="n">
        <v>100000</v>
      </c>
      <c r="Q12" s="5">
        <f>+O12+P12</f>
        <v/>
      </c>
      <c r="R12" s="5">
        <f>+Q12*(1+(#REF!)/(Q$37))</f>
        <v/>
      </c>
      <c r="S12" s="28" t="n">
        <v>100000</v>
      </c>
      <c r="T12" s="5">
        <f>+R12+S12</f>
        <v/>
      </c>
      <c r="U12" s="5">
        <f>+T12*(1+(#REF!)/(T$37))</f>
        <v/>
      </c>
      <c r="V12" s="28" t="n">
        <v>100000</v>
      </c>
      <c r="W12" s="5">
        <f>+U12+V12</f>
        <v/>
      </c>
      <c r="X12" s="5">
        <f>+W12*(1+(#REF!)/(W$37))</f>
        <v/>
      </c>
      <c r="Y12" s="28" t="n">
        <v>100000</v>
      </c>
      <c r="Z12" s="5">
        <f>+X12+Y12</f>
        <v/>
      </c>
      <c r="AA12" s="5">
        <f>+Z12*(1+(#REF!)/(Z$37))</f>
        <v/>
      </c>
      <c r="AB12" s="5" t="n">
        <v>100000</v>
      </c>
      <c r="AC12" s="5">
        <f>+AA12+AB12</f>
        <v/>
      </c>
      <c r="AD12" s="5">
        <f>+AC12*(1+(#REF!)/(AC$37))</f>
        <v/>
      </c>
      <c r="AE12" s="5" t="n">
        <v>100000</v>
      </c>
      <c r="AF12" s="5">
        <f>+AD12+AE12</f>
        <v/>
      </c>
      <c r="AG12" s="5">
        <f>+AF12*(1+(#REF!)/(AF$37))</f>
        <v/>
      </c>
      <c r="AI12" s="5">
        <f>+AG12+AH12</f>
        <v/>
      </c>
      <c r="AJ12" s="28">
        <f>+AI12*(1+(#REF!)/(AI$37))</f>
        <v/>
      </c>
      <c r="AK12" s="27">
        <f>B12+D12+G12+J12+M12+P12+S12+V12+Y12+AB12+AE12+AH12</f>
        <v/>
      </c>
      <c r="AL12" s="34">
        <f>-AK12+AJ12</f>
        <v/>
      </c>
      <c r="AM12" s="37">
        <f>Tableau44[[#This Row],[EP TOTALE]]+Tableau44[[#This Row],[INTERETS]]</f>
        <v/>
      </c>
      <c r="AO12" s="42" t="n">
        <v>11</v>
      </c>
      <c r="AP12" s="43" t="inlineStr">
        <is>
          <t>ITOP Samuel</t>
        </is>
      </c>
      <c r="AQ12" s="44" t="n">
        <v>1400000</v>
      </c>
      <c r="AR12" s="44" t="n">
        <v>150574.4444013555</v>
      </c>
      <c r="AS12" s="44" t="n">
        <v>1550574.444401355</v>
      </c>
      <c r="AT12" s="44" t="n"/>
      <c r="AU12" s="42" t="n"/>
    </row>
    <row r="13">
      <c r="A13" s="5" t="inlineStr">
        <is>
          <t>LIKENG BALEBA</t>
        </is>
      </c>
      <c r="B13" s="28" t="n">
        <v>100000</v>
      </c>
      <c r="C13" s="5">
        <f>B13*(1+(#REF!)/(B$37))</f>
        <v/>
      </c>
      <c r="D13" s="28" t="n"/>
      <c r="E13" s="5">
        <f>+D13+C13</f>
        <v/>
      </c>
      <c r="F13" s="5">
        <f>+E13*(1+(#REF!)/(E$37))</f>
        <v/>
      </c>
      <c r="G13" s="28" t="n"/>
      <c r="H13" s="5">
        <f>+F13+G13</f>
        <v/>
      </c>
      <c r="I13" s="5">
        <f>+H13*(1+(#REF!)/(H$37))</f>
        <v/>
      </c>
      <c r="J13" s="28" t="n"/>
      <c r="K13" s="5">
        <f>+I13+J13</f>
        <v/>
      </c>
      <c r="L13" s="5">
        <f>+K13*(1+(#REF!)/(K$37))</f>
        <v/>
      </c>
      <c r="M13" s="28" t="n"/>
      <c r="N13" s="5">
        <f>+L13+M13</f>
        <v/>
      </c>
      <c r="O13" s="5">
        <f>+N13*(1+(#REF!)/(N$37))</f>
        <v/>
      </c>
      <c r="P13" s="28" t="n"/>
      <c r="Q13" s="5">
        <f>+O13+P13</f>
        <v/>
      </c>
      <c r="R13" s="5">
        <f>+Q13*(1+(#REF!)/(Q$37))</f>
        <v/>
      </c>
      <c r="S13" s="28" t="n"/>
      <c r="T13" s="5">
        <f>+R13+S13</f>
        <v/>
      </c>
      <c r="U13" s="5">
        <f>+T13*(1+(#REF!)/(T$37))</f>
        <v/>
      </c>
      <c r="V13" s="28" t="n">
        <v>5000</v>
      </c>
      <c r="W13" s="5">
        <f>+U13+V13</f>
        <v/>
      </c>
      <c r="X13" s="5">
        <f>+W13*(1+(#REF!)/(W$37))</f>
        <v/>
      </c>
      <c r="Y13" s="28" t="n"/>
      <c r="Z13" s="5">
        <f>+X13+Y13</f>
        <v/>
      </c>
      <c r="AA13" s="5">
        <f>+Z13*(1+(#REF!)/(Z$37))</f>
        <v/>
      </c>
      <c r="AC13" s="5">
        <f>+AA13+AB13</f>
        <v/>
      </c>
      <c r="AD13" s="5">
        <f>+AC13*(1+(#REF!)/(AC$37))</f>
        <v/>
      </c>
      <c r="AE13" s="5" t="n">
        <v>18000</v>
      </c>
      <c r="AF13" s="5">
        <f>+AD13+AE13</f>
        <v/>
      </c>
      <c r="AG13" s="5">
        <f>+AF13*(1+(#REF!)/(AF$37))</f>
        <v/>
      </c>
      <c r="AI13" s="5">
        <f>+AG13+AH13</f>
        <v/>
      </c>
      <c r="AJ13" s="28">
        <f>+AI13*(1+(#REF!)/(AI$37))</f>
        <v/>
      </c>
      <c r="AK13" s="27">
        <f>B13+D13+G13+J13+M13+P13+S13+V13+Y13+AB13+AE13+AH13</f>
        <v/>
      </c>
      <c r="AL13" s="34">
        <f>-AK13+AJ13</f>
        <v/>
      </c>
      <c r="AM13" s="37">
        <f>Tableau44[[#This Row],[EP TOTALE]]+Tableau44[[#This Row],[INTERETS]]</f>
        <v/>
      </c>
      <c r="AO13" s="42" t="n">
        <v>12</v>
      </c>
      <c r="AP13" s="42" t="inlineStr">
        <is>
          <t>LIKENG BALEBA</t>
        </is>
      </c>
      <c r="AQ13" s="44" t="n">
        <v>125000</v>
      </c>
      <c r="AR13" s="44" t="n">
        <v>18024.04936478677</v>
      </c>
      <c r="AS13" s="44" t="n">
        <v>143024.0493647868</v>
      </c>
      <c r="AT13" s="44" t="n"/>
      <c r="AU13" s="42" t="n"/>
    </row>
    <row r="14">
      <c r="A14" s="5" t="inlineStr">
        <is>
          <t>MAMA Paul Yannick</t>
        </is>
      </c>
      <c r="B14" s="28" t="n">
        <v>94000</v>
      </c>
      <c r="C14" s="5">
        <f>B14*(1+(#REF!)/(B$37))</f>
        <v/>
      </c>
      <c r="D14" s="28" t="n"/>
      <c r="E14" s="5">
        <f>+D14+C14</f>
        <v/>
      </c>
      <c r="F14" s="5">
        <f>+E14*(1+(#REF!)/(E$37))</f>
        <v/>
      </c>
      <c r="G14" s="28" t="n"/>
      <c r="H14" s="5">
        <f>+F14+G14</f>
        <v/>
      </c>
      <c r="I14" s="5">
        <f>+H14*(1+(#REF!)/(H$37))</f>
        <v/>
      </c>
      <c r="J14" s="28" t="n"/>
      <c r="K14" s="5">
        <f>+I14+J14</f>
        <v/>
      </c>
      <c r="L14" s="5">
        <f>+K14*(1+(#REF!)/(K$37))</f>
        <v/>
      </c>
      <c r="M14" s="28" t="n"/>
      <c r="N14" s="5">
        <f>+L14+M14</f>
        <v/>
      </c>
      <c r="O14" s="5">
        <f>+N14*(1+(#REF!)/(N$37))</f>
        <v/>
      </c>
      <c r="P14" s="28" t="n"/>
      <c r="Q14" s="5">
        <f>+O14+P14</f>
        <v/>
      </c>
      <c r="R14" s="5">
        <f>+Q14*(1+(#REF!)/(Q$37))</f>
        <v/>
      </c>
      <c r="S14" s="28" t="n"/>
      <c r="T14" s="5">
        <f>+R14+S14</f>
        <v/>
      </c>
      <c r="U14" s="5">
        <f>+T14*(1+(#REF!)/(T$37))</f>
        <v/>
      </c>
      <c r="V14" s="28" t="n"/>
      <c r="W14" s="5">
        <f>+U14+V14</f>
        <v/>
      </c>
      <c r="X14" s="5">
        <f>+W14*(1+(#REF!)/(W$37))</f>
        <v/>
      </c>
      <c r="Y14" s="28" t="n"/>
      <c r="Z14" s="5">
        <f>+X14+Y14</f>
        <v/>
      </c>
      <c r="AA14" s="5">
        <f>+Z14*(1+(#REF!)/(Z$37))</f>
        <v/>
      </c>
      <c r="AC14" s="5">
        <f>+AA14+AB14</f>
        <v/>
      </c>
      <c r="AD14" s="5">
        <f>+AC14*(1+(#REF!)/(AC$37))</f>
        <v/>
      </c>
      <c r="AF14" s="5">
        <f>+AD14+AE14</f>
        <v/>
      </c>
      <c r="AG14" s="5">
        <f>+AF14*(1+(#REF!)/(AF$37))</f>
        <v/>
      </c>
      <c r="AI14" s="5">
        <f>+AG14+AH14</f>
        <v/>
      </c>
      <c r="AJ14" s="28">
        <f>+AI14*(1+(#REF!)/(AI$37))</f>
        <v/>
      </c>
      <c r="AK14" s="27">
        <f>B14+D14+G14+J14+M14+P14+S14+V14+Y14+AB14+AE14+AH14</f>
        <v/>
      </c>
      <c r="AL14" s="34">
        <f>-AK14+AJ14</f>
        <v/>
      </c>
      <c r="AM14" s="37">
        <f>Tableau44[[#This Row],[EP TOTALE]]+Tableau44[[#This Row],[INTERETS]]</f>
        <v/>
      </c>
      <c r="AO14" s="42" t="n">
        <v>13</v>
      </c>
      <c r="AP14" s="43" t="inlineStr">
        <is>
          <t>MAMA Paul Yannick</t>
        </is>
      </c>
      <c r="AQ14" s="44" t="n">
        <v>132000</v>
      </c>
      <c r="AR14" s="44" t="n">
        <v>20807.60984830232</v>
      </c>
      <c r="AS14" s="44" t="n">
        <v>152807.6098483023</v>
      </c>
      <c r="AT14" s="44" t="n"/>
      <c r="AU14" s="42" t="n"/>
    </row>
    <row r="15">
      <c r="A15" s="5" t="inlineStr">
        <is>
          <t>MANI EKOUDI François M.</t>
        </is>
      </c>
      <c r="B15" s="28" t="n">
        <v>0</v>
      </c>
      <c r="C15" s="5">
        <f>B15*(1+(#REF!)/(B$37))</f>
        <v/>
      </c>
      <c r="D15" s="28" t="n"/>
      <c r="E15" s="5">
        <f>+D15+C15</f>
        <v/>
      </c>
      <c r="F15" s="5">
        <f>+E15*(1+(#REF!)/(E$37))</f>
        <v/>
      </c>
      <c r="G15" s="28" t="n"/>
      <c r="H15" s="5">
        <f>+F15+G15</f>
        <v/>
      </c>
      <c r="I15" s="5">
        <f>+H15*(1+(#REF!)/(H$37))</f>
        <v/>
      </c>
      <c r="J15" s="28" t="n"/>
      <c r="K15" s="5">
        <f>+I15+J15</f>
        <v/>
      </c>
      <c r="L15" s="5">
        <f>+K15*(1+(#REF!)/(K$37))</f>
        <v/>
      </c>
      <c r="M15" s="28" t="n">
        <v>100000</v>
      </c>
      <c r="N15" s="5">
        <f>+L15+M15</f>
        <v/>
      </c>
      <c r="O15" s="5">
        <f>+N15*(1+(#REF!)/(N$37))</f>
        <v/>
      </c>
      <c r="P15" s="28" t="n"/>
      <c r="Q15" s="5">
        <f>+O15+P15</f>
        <v/>
      </c>
      <c r="R15" s="5">
        <f>+Q15*(1+(#REF!)/(Q$37))</f>
        <v/>
      </c>
      <c r="S15" s="28" t="n"/>
      <c r="T15" s="5">
        <f>+R15+S15</f>
        <v/>
      </c>
      <c r="U15" s="5">
        <f>+T15*(1+(#REF!)/(T$37))</f>
        <v/>
      </c>
      <c r="V15" s="28" t="n"/>
      <c r="W15" s="5">
        <f>+U15+V15</f>
        <v/>
      </c>
      <c r="X15" s="5">
        <f>+W15*(1+(#REF!)/(W$37))</f>
        <v/>
      </c>
      <c r="Y15" s="28" t="n"/>
      <c r="Z15" s="5">
        <f>+X15+Y15</f>
        <v/>
      </c>
      <c r="AA15" s="5">
        <f>+Z15*(1+(#REF!)/(Z$37))</f>
        <v/>
      </c>
      <c r="AC15" s="5">
        <f>+AA15+AB15</f>
        <v/>
      </c>
      <c r="AD15" s="5">
        <f>+AC15*(1+(#REF!)/(AC$37))</f>
        <v/>
      </c>
      <c r="AF15" s="5">
        <f>+AD15+AE15</f>
        <v/>
      </c>
      <c r="AG15" s="5">
        <f>+AF15*(1+(#REF!)/(AF$37))</f>
        <v/>
      </c>
      <c r="AI15" s="5">
        <f>+AG15+AH15</f>
        <v/>
      </c>
      <c r="AJ15" s="28">
        <f>+AI15*(1+(#REF!)/(AI$37))</f>
        <v/>
      </c>
      <c r="AK15" s="27">
        <f>B15+D15+G15+J15+M15+P15+S15+V15+Y15+AB15+AE15+AH15</f>
        <v/>
      </c>
      <c r="AL15" s="34">
        <f>-AK15+AJ15</f>
        <v/>
      </c>
      <c r="AM15" s="37">
        <f>Tableau44[[#This Row],[EP TOTALE]]+Tableau44[[#This Row],[INTERETS]]</f>
        <v/>
      </c>
      <c r="AO15" s="42" t="n">
        <v>14</v>
      </c>
      <c r="AP15" s="42" t="inlineStr">
        <is>
          <t>MANI EKOUDI François M.</t>
        </is>
      </c>
      <c r="AQ15" s="44" t="n">
        <v>180000</v>
      </c>
      <c r="AR15" s="44" t="n">
        <v>21542.54157025699</v>
      </c>
      <c r="AS15" s="44" t="n">
        <v>201542.541570257</v>
      </c>
      <c r="AT15" s="44" t="n"/>
      <c r="AU15" s="42" t="n"/>
    </row>
    <row r="16">
      <c r="A16" s="5" t="inlineStr">
        <is>
          <t>MBA ENYOUGOU Bernard</t>
        </is>
      </c>
      <c r="B16" s="28" t="n">
        <v>52000</v>
      </c>
      <c r="C16" s="5">
        <f>B16*(1+(#REF!)/(B$37))</f>
        <v/>
      </c>
      <c r="D16" s="28" t="n"/>
      <c r="E16" s="5">
        <f>+D16+C16</f>
        <v/>
      </c>
      <c r="F16" s="5">
        <f>+E16*(1+(#REF!)/(E$37))</f>
        <v/>
      </c>
      <c r="G16" s="28" t="n"/>
      <c r="H16" s="5">
        <f>+F16+G16</f>
        <v/>
      </c>
      <c r="I16" s="5">
        <f>+H16*(1+(#REF!)/(H$37))</f>
        <v/>
      </c>
      <c r="J16" s="28" t="n"/>
      <c r="K16" s="5">
        <f>+I16+J16</f>
        <v/>
      </c>
      <c r="L16" s="5">
        <f>+K16*(1+(#REF!)/(K$37))</f>
        <v/>
      </c>
      <c r="M16" s="28" t="n"/>
      <c r="N16" s="5">
        <f>+L16+M16</f>
        <v/>
      </c>
      <c r="O16" s="5">
        <f>+N16*(1+(#REF!)/(N$37))</f>
        <v/>
      </c>
      <c r="P16" s="28" t="n"/>
      <c r="Q16" s="5">
        <f>+O16+P16</f>
        <v/>
      </c>
      <c r="R16" s="5">
        <f>+Q16*(1+(#REF!)/(Q$37))</f>
        <v/>
      </c>
      <c r="S16" s="28" t="n"/>
      <c r="T16" s="5">
        <f>+R16+S16</f>
        <v/>
      </c>
      <c r="U16" s="5">
        <f>+T16*(1+(#REF!)/(T$37))</f>
        <v/>
      </c>
      <c r="V16" s="28" t="n"/>
      <c r="W16" s="5">
        <f>+U16+V16</f>
        <v/>
      </c>
      <c r="X16" s="5">
        <f>+W16*(1+(#REF!)/(W$37))</f>
        <v/>
      </c>
      <c r="Y16" s="28" t="n"/>
      <c r="Z16" s="5">
        <f>+X16+Y16</f>
        <v/>
      </c>
      <c r="AA16" s="5">
        <f>+Z16*(1+(#REF!)/(Z$37))</f>
        <v/>
      </c>
      <c r="AB16" s="5" t="n">
        <v>7000</v>
      </c>
      <c r="AC16" s="5">
        <f>+AA16+AB16</f>
        <v/>
      </c>
      <c r="AD16" s="5">
        <f>+AC16*(1+(#REF!)/(AC$37))</f>
        <v/>
      </c>
      <c r="AF16" s="5">
        <f>+AD16+AE16</f>
        <v/>
      </c>
      <c r="AG16" s="5">
        <f>+AF16*(1+(#REF!)/(AF$37))</f>
        <v/>
      </c>
      <c r="AI16" s="5">
        <f>+AG16+AH16</f>
        <v/>
      </c>
      <c r="AJ16" s="28">
        <f>+AI16*(1+(#REF!)/(AI$37))</f>
        <v/>
      </c>
      <c r="AK16" s="27">
        <f>B16+D16+G16+J16+M16+P16+S16+V16+Y16+AB16+AE16+AH16</f>
        <v/>
      </c>
      <c r="AL16" s="34">
        <f>-AK16+AJ16</f>
        <v/>
      </c>
      <c r="AM16" s="37">
        <f>Tableau44[[#This Row],[EP TOTALE]]+Tableau44[[#This Row],[INTERETS]]</f>
        <v/>
      </c>
      <c r="AO16" s="42" t="n">
        <v>15</v>
      </c>
      <c r="AP16" s="43" t="inlineStr">
        <is>
          <t>MBA ENYOUGOU Bernard</t>
        </is>
      </c>
      <c r="AQ16" s="44" t="n">
        <v>89000</v>
      </c>
      <c r="AR16" s="44" t="n">
        <v>13386.458176532</v>
      </c>
      <c r="AS16" s="44" t="n">
        <v>102386.458176532</v>
      </c>
      <c r="AT16" s="44" t="n"/>
      <c r="AU16" s="42" t="n"/>
    </row>
    <row r="17">
      <c r="A17" s="5" t="inlineStr">
        <is>
          <t>MBADI Homer Paul</t>
        </is>
      </c>
      <c r="B17" s="28" t="n">
        <v>33000</v>
      </c>
      <c r="C17" s="5">
        <f>B17*(1+(#REF!)/(B$37))</f>
        <v/>
      </c>
      <c r="D17" s="28" t="n"/>
      <c r="E17" s="5">
        <f>+D17+C17</f>
        <v/>
      </c>
      <c r="F17" s="5">
        <f>+E17*(1+(#REF!)/(E$37))</f>
        <v/>
      </c>
      <c r="G17" s="28" t="n"/>
      <c r="H17" s="5">
        <f>+F17+G17</f>
        <v/>
      </c>
      <c r="I17" s="5">
        <f>+H17*(1+(#REF!)/(H$37))</f>
        <v/>
      </c>
      <c r="J17" s="28" t="n"/>
      <c r="K17" s="5">
        <f>+I17+J17</f>
        <v/>
      </c>
      <c r="L17" s="5">
        <f>+K17*(1+(#REF!)/(K$37))</f>
        <v/>
      </c>
      <c r="M17" s="28" t="n">
        <v>500000</v>
      </c>
      <c r="N17" s="5">
        <f>+L17+M17</f>
        <v/>
      </c>
      <c r="O17" s="5">
        <f>+N17*(1+(#REF!)/(N$37))</f>
        <v/>
      </c>
      <c r="P17" s="28" t="n">
        <v>500000</v>
      </c>
      <c r="Q17" s="5">
        <f>+O17+P17</f>
        <v/>
      </c>
      <c r="R17" s="5">
        <f>+Q17*(1+(#REF!)/(Q$37))</f>
        <v/>
      </c>
      <c r="S17" s="28" t="n">
        <v>500000</v>
      </c>
      <c r="T17" s="5">
        <f>+R17+S17</f>
        <v/>
      </c>
      <c r="U17" s="5">
        <f>+T17*(1+(#REF!)/(T$37))</f>
        <v/>
      </c>
      <c r="V17" s="28" t="n">
        <v>500000</v>
      </c>
      <c r="W17" s="5">
        <f>+U17+V17</f>
        <v/>
      </c>
      <c r="X17" s="5">
        <f>+W17*(1+(#REF!)/(W$37))</f>
        <v/>
      </c>
      <c r="Y17" s="28" t="n">
        <v>500000</v>
      </c>
      <c r="Z17" s="5">
        <f>+X17+Y17</f>
        <v/>
      </c>
      <c r="AA17" s="5">
        <f>+Z17*(1+(#REF!)/(Z$37))</f>
        <v/>
      </c>
      <c r="AB17" s="5" t="n">
        <v>500000</v>
      </c>
      <c r="AC17" s="5">
        <f>+AA17+AB17</f>
        <v/>
      </c>
      <c r="AD17" s="5">
        <f>+AC17*(1+(#REF!)/(AC$37))</f>
        <v/>
      </c>
      <c r="AE17" s="5" t="n">
        <v>500000</v>
      </c>
      <c r="AF17" s="5">
        <f>+AD17+AE17</f>
        <v/>
      </c>
      <c r="AG17" s="5">
        <f>+AF17*(1+(#REF!)/(AF$37))</f>
        <v/>
      </c>
      <c r="AI17" s="5">
        <f>+AG17+AH17</f>
        <v/>
      </c>
      <c r="AJ17" s="28">
        <f>+AI17*(1+(#REF!)/(AI$37))</f>
        <v/>
      </c>
      <c r="AK17" s="27">
        <f>B17+D17+G17+J17+M17+P17+S17+V17+Y17+AB17+AE17+AH17</f>
        <v/>
      </c>
      <c r="AL17" s="34">
        <f>-AK17+AJ17</f>
        <v/>
      </c>
      <c r="AM17" s="37">
        <f>Tableau44[[#This Row],[EP TOTALE]]+Tableau44[[#This Row],[INTERETS]]</f>
        <v/>
      </c>
      <c r="AO17" s="42" t="n">
        <v>16</v>
      </c>
      <c r="AP17" s="42" t="inlineStr">
        <is>
          <t>MBADI Homer Paul</t>
        </is>
      </c>
      <c r="AQ17" s="44" t="n">
        <v>5033000</v>
      </c>
      <c r="AR17" s="44" t="n">
        <v>469130.2879892243</v>
      </c>
      <c r="AS17" s="44" t="n">
        <v>5502130.287989224</v>
      </c>
      <c r="AT17" s="44" t="n"/>
      <c r="AU17" s="42" t="n"/>
    </row>
    <row r="18">
      <c r="A18" s="5" t="inlineStr">
        <is>
          <t>MBAMBA NSOA Jean Paul</t>
        </is>
      </c>
      <c r="B18" s="28" t="n">
        <v>200000</v>
      </c>
      <c r="C18" s="5">
        <f>B18*(1+(#REF!)/(B$37))</f>
        <v/>
      </c>
      <c r="D18" s="28" t="n"/>
      <c r="E18" s="5">
        <f>+D18+C18</f>
        <v/>
      </c>
      <c r="F18" s="5">
        <f>+E18*(1+(#REF!)/(E$37))</f>
        <v/>
      </c>
      <c r="G18" s="28" t="n"/>
      <c r="H18" s="5">
        <f>+F18+G18</f>
        <v/>
      </c>
      <c r="I18" s="5">
        <f>+H18*(1+(#REF!)/(H$37))</f>
        <v/>
      </c>
      <c r="J18" s="28" t="n"/>
      <c r="K18" s="5">
        <f>+I18+J18</f>
        <v/>
      </c>
      <c r="L18" s="5">
        <f>+K18*(1+(#REF!)/(K$37))</f>
        <v/>
      </c>
      <c r="M18" s="28" t="n">
        <v>100000</v>
      </c>
      <c r="N18" s="5">
        <f>+L18+M18</f>
        <v/>
      </c>
      <c r="O18" s="5">
        <f>+N18*(1+(#REF!)/(N$37))</f>
        <v/>
      </c>
      <c r="P18" s="28" t="n"/>
      <c r="Q18" s="5">
        <f>+O18+P18</f>
        <v/>
      </c>
      <c r="R18" s="5">
        <f>+Q18*(1+(#REF!)/(Q$37))</f>
        <v/>
      </c>
      <c r="S18" s="28" t="n">
        <v>100000</v>
      </c>
      <c r="T18" s="5">
        <f>+R18+S18</f>
        <v/>
      </c>
      <c r="U18" s="5">
        <f>+T18*(1+(#REF!)/(T$37))</f>
        <v/>
      </c>
      <c r="V18" s="28" t="n"/>
      <c r="W18" s="5">
        <f>+U18+V18</f>
        <v/>
      </c>
      <c r="X18" s="5">
        <f>+W18*(1+(#REF!)/(W$37))</f>
        <v/>
      </c>
      <c r="Y18" s="28" t="n"/>
      <c r="Z18" s="5">
        <f>+X18+Y18</f>
        <v/>
      </c>
      <c r="AA18" s="5">
        <f>+Z18*(1+(#REF!)/(Z$37))</f>
        <v/>
      </c>
      <c r="AC18" s="5">
        <f>+AA18+AB18</f>
        <v/>
      </c>
      <c r="AD18" s="5">
        <f>+AC18*(1+(#REF!)/(AC$37))</f>
        <v/>
      </c>
      <c r="AE18" s="5" t="n">
        <v>18000</v>
      </c>
      <c r="AF18" s="5">
        <f>+AD18+AE18</f>
        <v/>
      </c>
      <c r="AG18" s="5">
        <f>+AF18*(1+(#REF!)/(AF$37))</f>
        <v/>
      </c>
      <c r="AI18" s="5">
        <f>+AG18+AH18</f>
        <v/>
      </c>
      <c r="AJ18" s="28">
        <f>+AI18*(1+(#REF!)/(AI$37))</f>
        <v/>
      </c>
      <c r="AK18" s="27">
        <f>B18+D18+G18+J18+M18+P18+S18+V18+Y18+AB18+AE18+AH18</f>
        <v/>
      </c>
      <c r="AL18" s="34">
        <f>-AK18+AJ18</f>
        <v/>
      </c>
      <c r="AM18" s="37">
        <f>Tableau44[[#This Row],[EP TOTALE]]+Tableau44[[#This Row],[INTERETS]]</f>
        <v/>
      </c>
      <c r="AO18" s="42" t="n">
        <v>17</v>
      </c>
      <c r="AP18" s="43" t="inlineStr">
        <is>
          <t>MBAMBA NSOA Jean Paul</t>
        </is>
      </c>
      <c r="AQ18" s="44" t="n">
        <v>518000</v>
      </c>
      <c r="AR18" s="44" t="n">
        <v>69497.89278386708</v>
      </c>
      <c r="AS18" s="44" t="n">
        <v>587497.8927838671</v>
      </c>
      <c r="AT18" s="44" t="n"/>
      <c r="AU18" s="42" t="n"/>
    </row>
    <row r="19">
      <c r="A19" s="5" t="inlineStr">
        <is>
          <t>MENGUE François Xavier</t>
        </is>
      </c>
      <c r="B19" s="28" t="n">
        <v>40000</v>
      </c>
      <c r="C19" s="5">
        <f>B19*(1+(#REF!)/(B$37))</f>
        <v/>
      </c>
      <c r="D19" s="28" t="n"/>
      <c r="E19" s="5">
        <f>+D19+C19</f>
        <v/>
      </c>
      <c r="F19" s="5">
        <f>+E19*(1+(#REF!)/(E$37))</f>
        <v/>
      </c>
      <c r="G19" s="28" t="n"/>
      <c r="H19" s="5">
        <f>+F19+G19</f>
        <v/>
      </c>
      <c r="I19" s="5">
        <f>+H19*(1+(#REF!)/(H$37))</f>
        <v/>
      </c>
      <c r="J19" s="28" t="n"/>
      <c r="K19" s="5">
        <f>+I19+J19</f>
        <v/>
      </c>
      <c r="L19" s="5">
        <f>+K19*(1+(#REF!)/(K$37))</f>
        <v/>
      </c>
      <c r="M19" s="28" t="n"/>
      <c r="N19" s="5">
        <f>+L19+M19</f>
        <v/>
      </c>
      <c r="O19" s="5">
        <f>+N19*(1+(#REF!)/(N$37))</f>
        <v/>
      </c>
      <c r="P19" s="28" t="n">
        <v>88000</v>
      </c>
      <c r="Q19" s="5">
        <f>+O19+P19</f>
        <v/>
      </c>
      <c r="R19" s="5">
        <f>+Q19*(1+(#REF!)/(Q$37))</f>
        <v/>
      </c>
      <c r="S19" s="28" t="n"/>
      <c r="T19" s="5">
        <f>+R19+S19</f>
        <v/>
      </c>
      <c r="U19" s="5">
        <f>+T19*(1+(#REF!)/(T$37))</f>
        <v/>
      </c>
      <c r="V19" s="28" t="n"/>
      <c r="W19" s="5">
        <f>+U19+V19</f>
        <v/>
      </c>
      <c r="X19" s="5">
        <f>+W19*(1+(#REF!)/(W$37))</f>
        <v/>
      </c>
      <c r="Y19" s="28" t="n"/>
      <c r="Z19" s="5">
        <f>+X19+Y19</f>
        <v/>
      </c>
      <c r="AA19" s="5">
        <f>+Z19*(1+(#REF!)/(Z$37))</f>
        <v/>
      </c>
      <c r="AC19" s="5">
        <f>+AA19+AB19</f>
        <v/>
      </c>
      <c r="AD19" s="5">
        <f>+AC19*(1+(#REF!)/(AC$37))</f>
        <v/>
      </c>
      <c r="AF19" s="5">
        <f>+AD19+AE19</f>
        <v/>
      </c>
      <c r="AG19" s="5">
        <f>+AF19*(1+(#REF!)/(AF$37))</f>
        <v/>
      </c>
      <c r="AI19" s="5">
        <f>+AG19+AH19</f>
        <v/>
      </c>
      <c r="AJ19" s="28">
        <f>+AI19*(1+(#REF!)/(AI$37))</f>
        <v/>
      </c>
      <c r="AK19" s="27">
        <f>B19+D19+G19+J19+M19+P19+S19+V19+Y19+AB19+AE19+AH19</f>
        <v/>
      </c>
      <c r="AL19" s="34">
        <f>-AK19+AJ19</f>
        <v/>
      </c>
      <c r="AM19" s="37">
        <f>Tableau44[[#This Row],[EP TOTALE]]+Tableau44[[#This Row],[INTERETS]]</f>
        <v/>
      </c>
      <c r="AO19" s="42" t="n">
        <v>18</v>
      </c>
      <c r="AP19" s="42" t="inlineStr">
        <is>
          <t>MENGUE François Xavier</t>
        </is>
      </c>
      <c r="AQ19" s="44" t="n">
        <v>128000</v>
      </c>
      <c r="AR19" s="44" t="n">
        <v>15185.25523875636</v>
      </c>
      <c r="AS19" s="44" t="n">
        <v>143185.2552387564</v>
      </c>
      <c r="AT19" s="44" t="n"/>
      <c r="AU19" s="42" t="n"/>
    </row>
    <row r="20">
      <c r="A20" s="5" t="inlineStr">
        <is>
          <t>MIONG RIGOBERT Dieudonné</t>
        </is>
      </c>
      <c r="B20" s="28" t="n">
        <v>100000</v>
      </c>
      <c r="C20" s="5">
        <f>B20*(1+(#REF!)/(B$37))</f>
        <v/>
      </c>
      <c r="D20" s="28" t="n"/>
      <c r="E20" s="5">
        <f>+D20+C20</f>
        <v/>
      </c>
      <c r="F20" s="5">
        <f>+E20*(1+(#REF!)/(E$37))</f>
        <v/>
      </c>
      <c r="G20" s="28" t="n"/>
      <c r="H20" s="5">
        <f>+F20+G20</f>
        <v/>
      </c>
      <c r="I20" s="5">
        <f>+H20*(1+(#REF!)/(H$37))</f>
        <v/>
      </c>
      <c r="J20" s="28" t="n"/>
      <c r="K20" s="5">
        <f>+I20+J20</f>
        <v/>
      </c>
      <c r="L20" s="5">
        <f>+K20*(1+(#REF!)/(K$37))</f>
        <v/>
      </c>
      <c r="M20" s="28" t="n"/>
      <c r="N20" s="5">
        <f>+L20+M20</f>
        <v/>
      </c>
      <c r="O20" s="5">
        <f>+N20*(1+(#REF!)/(N$37))</f>
        <v/>
      </c>
      <c r="P20" s="28" t="n"/>
      <c r="Q20" s="5">
        <f>+O20+P20</f>
        <v/>
      </c>
      <c r="R20" s="5">
        <f>+Q20*(1+(#REF!)/(Q$37))</f>
        <v/>
      </c>
      <c r="S20" s="28" t="n"/>
      <c r="T20" s="5">
        <f>+R20+S20</f>
        <v/>
      </c>
      <c r="U20" s="5">
        <f>+T20*(1+(#REF!)/(T$37))</f>
        <v/>
      </c>
      <c r="V20" s="28" t="n"/>
      <c r="W20" s="5">
        <f>+U20+V20</f>
        <v/>
      </c>
      <c r="X20" s="5">
        <f>+W20*(1+(#REF!)/(W$37))</f>
        <v/>
      </c>
      <c r="Y20" s="28" t="n"/>
      <c r="Z20" s="5">
        <f>+X20+Y20</f>
        <v/>
      </c>
      <c r="AA20" s="5">
        <f>+Z20*(1+(#REF!)/(Z$37))</f>
        <v/>
      </c>
      <c r="AC20" s="5">
        <f>+AA20+AB20</f>
        <v/>
      </c>
      <c r="AD20" s="5">
        <f>+AC20*(1+(#REF!)/(AC$37))</f>
        <v/>
      </c>
      <c r="AF20" s="5">
        <f>+AD20+AE20</f>
        <v/>
      </c>
      <c r="AG20" s="5">
        <f>+AF20*(1+(#REF!)/(AF$37))</f>
        <v/>
      </c>
      <c r="AI20" s="5">
        <f>+AG20+AH20</f>
        <v/>
      </c>
      <c r="AJ20" s="28">
        <f>+AI20*(1+(#REF!)/(AI$37))</f>
        <v/>
      </c>
      <c r="AK20" s="27">
        <f>B20+D20+G20+J20+M20+P20+S20+V20+Y20+AB20+AE20+AH20</f>
        <v/>
      </c>
      <c r="AL20" s="34">
        <f>-AK20+AJ20</f>
        <v/>
      </c>
      <c r="AM20" s="37">
        <f>Tableau44[[#This Row],[EP TOTALE]]+Tableau44[[#This Row],[INTERETS]]</f>
        <v/>
      </c>
      <c r="AO20" s="42" t="n">
        <v>19</v>
      </c>
      <c r="AP20" s="43" t="inlineStr">
        <is>
          <t>MIONG RIGOBERT Dieudonné</t>
        </is>
      </c>
      <c r="AQ20" s="44" t="n">
        <v>120000</v>
      </c>
      <c r="AR20" s="44" t="n">
        <v>19608.73124463152</v>
      </c>
      <c r="AS20" s="44" t="n">
        <v>139608.7312446315</v>
      </c>
      <c r="AT20" s="44" t="n"/>
      <c r="AU20" s="42" t="n"/>
    </row>
    <row r="21">
      <c r="A21" s="5" t="inlineStr">
        <is>
          <t>NDJOCK Thaddée Rodrigue</t>
        </is>
      </c>
      <c r="B21" s="28" t="n">
        <v>0</v>
      </c>
      <c r="C21" s="5">
        <f>B21*(1+(#REF!)/(B$37))</f>
        <v/>
      </c>
      <c r="D21" s="28" t="n"/>
      <c r="E21" s="5">
        <f>+D21+C21</f>
        <v/>
      </c>
      <c r="F21" s="5">
        <f>+E21*(1+(#REF!)/(E$37))</f>
        <v/>
      </c>
      <c r="G21" s="28" t="n"/>
      <c r="H21" s="5">
        <f>+F21+G21</f>
        <v/>
      </c>
      <c r="I21" s="5">
        <f>+H21*(1+(#REF!)/(H$37))</f>
        <v/>
      </c>
      <c r="J21" s="28" t="n"/>
      <c r="K21" s="5">
        <f>+I21+J21</f>
        <v/>
      </c>
      <c r="L21" s="5">
        <f>+K21*(1+(#REF!)/(K$37))</f>
        <v/>
      </c>
      <c r="M21" s="28" t="n"/>
      <c r="N21" s="5">
        <f>+L21+M21</f>
        <v/>
      </c>
      <c r="O21" s="5">
        <f>+N21*(1+(#REF!)/(N$37))</f>
        <v/>
      </c>
      <c r="P21" s="28" t="n"/>
      <c r="Q21" s="5">
        <f>+O21+P21</f>
        <v/>
      </c>
      <c r="R21" s="5">
        <f>+Q21*(1+(#REF!)/(Q$37))</f>
        <v/>
      </c>
      <c r="S21" s="28" t="n"/>
      <c r="T21" s="5">
        <f>+R21+S21</f>
        <v/>
      </c>
      <c r="U21" s="5">
        <f>+T21*(1+(#REF!)/(T$37))</f>
        <v/>
      </c>
      <c r="V21" s="28" t="n"/>
      <c r="W21" s="5">
        <f>+U21+V21</f>
        <v/>
      </c>
      <c r="X21" s="5">
        <f>+W21*(1+(#REF!)/(W$37))</f>
        <v/>
      </c>
      <c r="Y21" s="28" t="n"/>
      <c r="Z21" s="5">
        <f>+X21+Y21</f>
        <v/>
      </c>
      <c r="AA21" s="5">
        <f>+Z21*(1+(#REF!)/(Z$37))</f>
        <v/>
      </c>
      <c r="AC21" s="5">
        <f>+AA21+AB21</f>
        <v/>
      </c>
      <c r="AD21" s="5">
        <f>+AC21*(1+(#REF!)/(AC$37))</f>
        <v/>
      </c>
      <c r="AF21" s="5">
        <f>+AD21+AE21</f>
        <v/>
      </c>
      <c r="AG21" s="5">
        <f>+AF21*(1+(#REF!)/(AF$37))</f>
        <v/>
      </c>
      <c r="AI21" s="5">
        <f>+AG21+AH21</f>
        <v/>
      </c>
      <c r="AJ21" s="28">
        <f>+AI21*(1+(#REF!)/(AI$37))</f>
        <v/>
      </c>
      <c r="AK21" s="27">
        <f>B21+D21+G21+J21+M21+P21+S21+V21+Y21+AB21+AE21+AH21</f>
        <v/>
      </c>
      <c r="AL21" s="34">
        <f>-AK21+AJ21</f>
        <v/>
      </c>
      <c r="AM21" s="37">
        <f>Tableau44[[#This Row],[EP TOTALE]]+Tableau44[[#This Row],[INTERETS]]</f>
        <v/>
      </c>
      <c r="AO21" s="42" t="n">
        <v>20</v>
      </c>
      <c r="AP21" s="42" t="inlineStr">
        <is>
          <t>NDJOCK Thaddée Rodrigue</t>
        </is>
      </c>
      <c r="AQ21" s="44" t="n">
        <v>6000</v>
      </c>
      <c r="AR21" s="44" t="n">
        <v>898.747633721975</v>
      </c>
      <c r="AS21" s="44" t="n">
        <v>6898.747633721975</v>
      </c>
      <c r="AT21" s="44" t="n"/>
      <c r="AU21" s="42" t="n"/>
    </row>
    <row r="22">
      <c r="A22" s="5" t="inlineStr">
        <is>
          <t>NKOLO NGAH Emmanuel</t>
        </is>
      </c>
      <c r="B22" s="28" t="n">
        <v>100000</v>
      </c>
      <c r="C22" s="5">
        <f>B22*(1+(#REF!)/(B$37))</f>
        <v/>
      </c>
      <c r="D22" s="28" t="n"/>
      <c r="E22" s="5">
        <f>+D22+C22</f>
        <v/>
      </c>
      <c r="F22" s="5">
        <f>+E22*(1+(#REF!)/(E$37))</f>
        <v/>
      </c>
      <c r="G22" s="28" t="n"/>
      <c r="H22" s="5">
        <f>+F22+G22</f>
        <v/>
      </c>
      <c r="I22" s="5">
        <f>+H22*(1+(#REF!)/(H$37))</f>
        <v/>
      </c>
      <c r="J22" s="28" t="n"/>
      <c r="K22" s="5">
        <f>+I22+J22</f>
        <v/>
      </c>
      <c r="L22" s="5">
        <f>+K22*(1+(#REF!)/(K$37))</f>
        <v/>
      </c>
      <c r="M22" s="28" t="n"/>
      <c r="N22" s="5">
        <f>+L22+M22</f>
        <v/>
      </c>
      <c r="O22" s="5">
        <f>+N22*(1+(#REF!)/(N$37))</f>
        <v/>
      </c>
      <c r="P22" s="28" t="n"/>
      <c r="Q22" s="5">
        <f>+O22+P22</f>
        <v/>
      </c>
      <c r="R22" s="5">
        <f>+Q22*(1+(#REF!)/(Q$37))</f>
        <v/>
      </c>
      <c r="S22" s="28" t="n"/>
      <c r="T22" s="5">
        <f>+R22+S22</f>
        <v/>
      </c>
      <c r="U22" s="5">
        <f>+T22*(1+(#REF!)/(T$37))</f>
        <v/>
      </c>
      <c r="V22" s="28" t="n"/>
      <c r="W22" s="5">
        <f>+U22+V22</f>
        <v/>
      </c>
      <c r="X22" s="5">
        <f>+W22*(1+(#REF!)/(W$37))</f>
        <v/>
      </c>
      <c r="Y22" s="28" t="n"/>
      <c r="Z22" s="5">
        <f>+X22+Y22</f>
        <v/>
      </c>
      <c r="AA22" s="5">
        <f>+Z22*(1+(#REF!)/(Z$37))</f>
        <v/>
      </c>
      <c r="AC22" s="5">
        <f>+AA22+AB22</f>
        <v/>
      </c>
      <c r="AD22" s="5">
        <f>+AC22*(1+(#REF!)/(AC$37))</f>
        <v/>
      </c>
      <c r="AE22" s="5" t="n">
        <v>8000</v>
      </c>
      <c r="AF22" s="5">
        <f>+AD22+AE22</f>
        <v/>
      </c>
      <c r="AG22" s="5">
        <f>+AF22*(1+(#REF!)/(AF$37))</f>
        <v/>
      </c>
      <c r="AI22" s="5">
        <f>+AG22+AH22</f>
        <v/>
      </c>
      <c r="AJ22" s="28">
        <f>+AI22*(1+(#REF!)/(AI$37))</f>
        <v/>
      </c>
      <c r="AK22" s="27">
        <f>B22+D22+G22+J22+M22+P22+S22+V22+Y22+AB22+AE22+AH22</f>
        <v/>
      </c>
      <c r="AL22" s="34">
        <f>-AK22+AJ22</f>
        <v/>
      </c>
      <c r="AM22" s="37">
        <f>Tableau44[[#This Row],[EP TOTALE]]+Tableau44[[#This Row],[INTERETS]]</f>
        <v/>
      </c>
      <c r="AO22" s="42" t="n">
        <v>21</v>
      </c>
      <c r="AP22" s="43" t="inlineStr">
        <is>
          <t>NKOLO NGAH Emmanuel</t>
        </is>
      </c>
      <c r="AQ22" s="44" t="n">
        <v>108000</v>
      </c>
      <c r="AR22" s="44" t="n">
        <v>17272.44635858676</v>
      </c>
      <c r="AS22" s="44" t="n">
        <v>125272.4463585868</v>
      </c>
      <c r="AT22" s="44" t="n"/>
      <c r="AU22" s="42" t="n"/>
    </row>
    <row r="23">
      <c r="A23" s="5" t="inlineStr">
        <is>
          <t>NOAH Patrick Michel Brice</t>
        </is>
      </c>
      <c r="B23" s="28" t="n"/>
      <c r="C23" s="5">
        <f>B23*(1+(#REF!)/(B$37))</f>
        <v/>
      </c>
      <c r="D23" s="28" t="n"/>
      <c r="E23" s="5">
        <f>+D23+C23</f>
        <v/>
      </c>
      <c r="F23" s="5">
        <f>+E23*(1+(#REF!)/(E$37))</f>
        <v/>
      </c>
      <c r="G23" s="28" t="n"/>
      <c r="H23" s="5">
        <f>+F23+G23</f>
        <v/>
      </c>
      <c r="I23" s="5">
        <f>+H23*(1+(#REF!)/(H$37))</f>
        <v/>
      </c>
      <c r="J23" s="28" t="n"/>
      <c r="K23" s="5">
        <f>+I23+J23</f>
        <v/>
      </c>
      <c r="L23" s="5">
        <f>+K23*(1+(#REF!)/(K$37))</f>
        <v/>
      </c>
      <c r="M23" s="28" t="n">
        <v>100000</v>
      </c>
      <c r="N23" s="5">
        <f>+L23+M23</f>
        <v/>
      </c>
      <c r="O23" s="5">
        <f>+N23*(1+(#REF!)/(N$37))</f>
        <v/>
      </c>
      <c r="P23" s="28" t="n"/>
      <c r="Q23" s="5">
        <f>+O23+P23</f>
        <v/>
      </c>
      <c r="R23" s="5">
        <f>+Q23*(1+(#REF!)/(Q$37))</f>
        <v/>
      </c>
      <c r="S23" s="28" t="n"/>
      <c r="T23" s="5">
        <f>+R23+S23</f>
        <v/>
      </c>
      <c r="U23" s="5">
        <f>+T23*(1+(#REF!)/(T$37))</f>
        <v/>
      </c>
      <c r="V23" s="28" t="n"/>
      <c r="W23" s="5">
        <f>+U23+V23</f>
        <v/>
      </c>
      <c r="X23" s="5">
        <f>+W23*(1+(#REF!)/(W$37))</f>
        <v/>
      </c>
      <c r="Y23" s="28" t="n"/>
      <c r="Z23" s="5">
        <f>+X23+Y23</f>
        <v/>
      </c>
      <c r="AA23" s="5">
        <f>+Z23*(1+(#REF!)/(Z$37))</f>
        <v/>
      </c>
      <c r="AC23" s="5">
        <f>+AA23+AB23</f>
        <v/>
      </c>
      <c r="AD23" s="5">
        <f>+AC23*(1+(#REF!)/(AC$37))</f>
        <v/>
      </c>
      <c r="AF23" s="5">
        <f>+AD23+AE23</f>
        <v/>
      </c>
      <c r="AG23" s="5">
        <f>+AF23*(1+(#REF!)/(AF$37))</f>
        <v/>
      </c>
      <c r="AI23" s="5">
        <f>+AG23+AH23</f>
        <v/>
      </c>
      <c r="AJ23" s="28">
        <f>+AI23*(1+(#REF!)/(AI$37))</f>
        <v/>
      </c>
      <c r="AK23" s="27">
        <f>B23+D23+G23+J23+M23+P23+S23+V23+Y23+AB23+AE23+AH23</f>
        <v/>
      </c>
      <c r="AL23" s="34">
        <f>-AK23+AJ23</f>
        <v/>
      </c>
      <c r="AM23" s="37">
        <f>Tableau44[[#This Row],[EP TOTALE]]+Tableau44[[#This Row],[INTERETS]]</f>
        <v/>
      </c>
      <c r="AO23" s="42" t="n">
        <v>22</v>
      </c>
      <c r="AP23" s="42" t="inlineStr">
        <is>
          <t>NOAH Patrick Michel Brice</t>
        </is>
      </c>
      <c r="AQ23" s="44" t="n">
        <v>200000</v>
      </c>
      <c r="AR23" s="44" t="n">
        <v>25728.66377662396</v>
      </c>
      <c r="AS23" s="44" t="n">
        <v>225728.663776624</v>
      </c>
      <c r="AT23" s="44" t="n"/>
      <c r="AU23" s="42" t="n"/>
    </row>
    <row r="24">
      <c r="A24" s="5" t="inlineStr">
        <is>
          <t>NONBO Marc</t>
        </is>
      </c>
      <c r="B24" s="28" t="n">
        <v>0</v>
      </c>
      <c r="C24" s="5">
        <f>B24*(1+(#REF!)/(B$37))</f>
        <v/>
      </c>
      <c r="D24" s="28" t="n"/>
      <c r="E24" s="5">
        <f>+D24+C24</f>
        <v/>
      </c>
      <c r="F24" s="5">
        <f>+E24*(1+(#REF!)/(E$37))</f>
        <v/>
      </c>
      <c r="G24" s="28" t="n"/>
      <c r="H24" s="5">
        <f>+F24+G24</f>
        <v/>
      </c>
      <c r="I24" s="5">
        <f>+H24*(1+(#REF!)/(H$37))</f>
        <v/>
      </c>
      <c r="J24" s="28" t="n"/>
      <c r="K24" s="5">
        <f>+I24+J24</f>
        <v/>
      </c>
      <c r="L24" s="5">
        <f>+K24*(1+(#REF!)/(K$37))</f>
        <v/>
      </c>
      <c r="M24" s="28" t="n"/>
      <c r="N24" s="5">
        <f>+L24+M24</f>
        <v/>
      </c>
      <c r="O24" s="5">
        <f>+N24*(1+(#REF!)/(N$37))</f>
        <v/>
      </c>
      <c r="P24" s="28" t="n"/>
      <c r="Q24" s="5">
        <f>+O24+P24</f>
        <v/>
      </c>
      <c r="R24" s="5">
        <f>+Q24*(1+(#REF!)/(Q$37))</f>
        <v/>
      </c>
      <c r="S24" s="28" t="n"/>
      <c r="T24" s="5">
        <f>+R24+S24</f>
        <v/>
      </c>
      <c r="U24" s="5">
        <f>+T24*(1+(#REF!)/(T$37))</f>
        <v/>
      </c>
      <c r="V24" s="28" t="n"/>
      <c r="W24" s="5">
        <f>+U24+V24</f>
        <v/>
      </c>
      <c r="X24" s="5">
        <f>+W24*(1+(#REF!)/(W$37))</f>
        <v/>
      </c>
      <c r="Y24" s="28" t="n">
        <v>100000</v>
      </c>
      <c r="Z24" s="5">
        <f>+X24+Y24</f>
        <v/>
      </c>
      <c r="AA24" s="5">
        <f>+Z24*(1+(#REF!)/(Z$37))</f>
        <v/>
      </c>
      <c r="AC24" s="5">
        <f>+AA24+AB24</f>
        <v/>
      </c>
      <c r="AD24" s="5">
        <f>+AC24*(1+(#REF!)/(AC$37))</f>
        <v/>
      </c>
      <c r="AF24" s="5">
        <f>+AD24+AE24</f>
        <v/>
      </c>
      <c r="AG24" s="5">
        <f>+AF24*(1+(#REF!)/(AF$37))</f>
        <v/>
      </c>
      <c r="AI24" s="5">
        <f>+AG24+AH24</f>
        <v/>
      </c>
      <c r="AJ24" s="28">
        <f>+AI24*(1+(#REF!)/(AI$37))</f>
        <v/>
      </c>
      <c r="AK24" s="27">
        <f>B24+D24+G24+J24+M24+P24+S24+V24+Y24+AB24+AE24+AH24</f>
        <v/>
      </c>
      <c r="AL24" s="34">
        <f>-AK24+AJ24</f>
        <v/>
      </c>
      <c r="AM24" s="37">
        <f>Tableau44[[#This Row],[EP TOTALE]]+Tableau44[[#This Row],[INTERETS]]</f>
        <v/>
      </c>
      <c r="AO24" s="42" t="n">
        <v>23</v>
      </c>
      <c r="AP24" s="43" t="inlineStr">
        <is>
          <t>NONBO Marc</t>
        </is>
      </c>
      <c r="AQ24" s="44" t="n">
        <v>100000</v>
      </c>
      <c r="AR24" s="44" t="n">
        <v>5380.739565894561</v>
      </c>
      <c r="AS24" s="44" t="n">
        <v>105380.7395658946</v>
      </c>
      <c r="AT24" s="44" t="n"/>
      <c r="AU24" s="42" t="n"/>
    </row>
    <row r="25">
      <c r="A25" s="5" t="inlineStr">
        <is>
          <t>NSOA MBONDO Pierre</t>
        </is>
      </c>
      <c r="B25" s="28" t="n">
        <v>100500</v>
      </c>
      <c r="C25" s="5">
        <f>B25*(1+(#REF!)/(B$37))</f>
        <v/>
      </c>
      <c r="D25" s="28" t="n"/>
      <c r="E25" s="5">
        <f>+D25+C25</f>
        <v/>
      </c>
      <c r="F25" s="5">
        <f>+E25*(1+(#REF!)/(E$37))</f>
        <v/>
      </c>
      <c r="G25" s="28" t="n"/>
      <c r="H25" s="5">
        <f>+F25+G25</f>
        <v/>
      </c>
      <c r="I25" s="5">
        <f>+H25*(1+(#REF!)/(H$37))</f>
        <v/>
      </c>
      <c r="J25" s="28" t="n"/>
      <c r="K25" s="5">
        <f>+I25+J25</f>
        <v/>
      </c>
      <c r="L25" s="5">
        <f>+K25*(1+(#REF!)/(K$37))</f>
        <v/>
      </c>
      <c r="M25" s="28" t="n"/>
      <c r="N25" s="5">
        <f>+L25+M25</f>
        <v/>
      </c>
      <c r="O25" s="5">
        <f>+N25*(1+(#REF!)/(N$37))</f>
        <v/>
      </c>
      <c r="P25" s="28" t="n"/>
      <c r="Q25" s="5">
        <f>+O25+P25</f>
        <v/>
      </c>
      <c r="R25" s="5">
        <f>+Q25*(1+(#REF!)/(Q$37))</f>
        <v/>
      </c>
      <c r="S25" s="28" t="n"/>
      <c r="T25" s="5">
        <f>+R25+S25</f>
        <v/>
      </c>
      <c r="U25" s="5">
        <f>+T25*(1+(#REF!)/(T$37))</f>
        <v/>
      </c>
      <c r="V25" s="28" t="n"/>
      <c r="W25" s="5">
        <f>+U25+V25</f>
        <v/>
      </c>
      <c r="X25" s="5">
        <f>+W25*(1+(#REF!)/(W$37))</f>
        <v/>
      </c>
      <c r="Y25" s="28" t="n"/>
      <c r="Z25" s="5">
        <f>+X25+Y25</f>
        <v/>
      </c>
      <c r="AA25" s="5">
        <f>+Z25*(1+(#REF!)/(Z$37))</f>
        <v/>
      </c>
      <c r="AC25" s="5">
        <f>+AA25+AB25</f>
        <v/>
      </c>
      <c r="AD25" s="5">
        <f>+AC25*(1+(#REF!)/(AC$37))</f>
        <v/>
      </c>
      <c r="AF25" s="5">
        <f>+AD25+AE25</f>
        <v/>
      </c>
      <c r="AG25" s="5">
        <f>+AF25*(1+(#REF!)/(AF$37))</f>
        <v/>
      </c>
      <c r="AI25" s="5">
        <f>+AG25+AH25</f>
        <v/>
      </c>
      <c r="AJ25" s="28">
        <f>+AI25*(1+(#REF!)/(AI$37))</f>
        <v/>
      </c>
      <c r="AK25" s="27">
        <f>B25+D25+G25+J25+M25+P25+S25+V25+Y25+AB25+AE25+AH25</f>
        <v/>
      </c>
      <c r="AL25" s="34">
        <f>-AK25+AJ25</f>
        <v/>
      </c>
      <c r="AM25" s="37">
        <f>Tableau44[[#This Row],[EP TOTALE]]+Tableau44[[#This Row],[INTERETS]]</f>
        <v/>
      </c>
      <c r="AO25" s="42" t="n">
        <v>24</v>
      </c>
      <c r="AP25" s="42" t="inlineStr">
        <is>
          <t>NSOA MBONDO Pierre</t>
        </is>
      </c>
      <c r="AQ25" s="44" t="n">
        <v>100500</v>
      </c>
      <c r="AR25" s="44" t="n">
        <v>17220.02543133346</v>
      </c>
      <c r="AS25" s="44" t="n">
        <v>117720.0254313335</v>
      </c>
      <c r="AT25" s="44" t="n"/>
      <c r="AU25" s="42" t="n"/>
    </row>
    <row r="26">
      <c r="A26" s="5" t="inlineStr">
        <is>
          <t>NSOE NKOULI Jean-Baptiste</t>
        </is>
      </c>
      <c r="B26" s="28" t="n">
        <v>100000</v>
      </c>
      <c r="C26" s="5">
        <f>B26*(1+(#REF!)/(B$37))</f>
        <v/>
      </c>
      <c r="D26" s="28" t="n"/>
      <c r="E26" s="5">
        <f>+D26+C26</f>
        <v/>
      </c>
      <c r="F26" s="5">
        <f>+E26*(1+(#REF!)/(E$37))</f>
        <v/>
      </c>
      <c r="G26" s="28" t="n"/>
      <c r="H26" s="5">
        <f>+F26+G26</f>
        <v/>
      </c>
      <c r="I26" s="5">
        <f>+H26*(1+(#REF!)/(H$37))</f>
        <v/>
      </c>
      <c r="J26" s="28" t="n"/>
      <c r="K26" s="5">
        <f>+I26+J26</f>
        <v/>
      </c>
      <c r="L26" s="5">
        <f>+K26*(1+(#REF!)/(K$37))</f>
        <v/>
      </c>
      <c r="M26" s="28" t="n"/>
      <c r="N26" s="5">
        <f>+L26+M26</f>
        <v/>
      </c>
      <c r="O26" s="5">
        <f>+N26*(1+(#REF!)/(N$37))</f>
        <v/>
      </c>
      <c r="P26" s="28" t="n"/>
      <c r="Q26" s="5">
        <f>+O26+P26</f>
        <v/>
      </c>
      <c r="R26" s="5">
        <f>+Q26*(1+(#REF!)/(Q$37))</f>
        <v/>
      </c>
      <c r="S26" s="28" t="n"/>
      <c r="T26" s="5">
        <f>+R26+S26</f>
        <v/>
      </c>
      <c r="U26" s="5">
        <f>+T26*(1+(#REF!)/(T$37))</f>
        <v/>
      </c>
      <c r="V26" s="28" t="n"/>
      <c r="W26" s="5">
        <f>+U26+V26</f>
        <v/>
      </c>
      <c r="X26" s="5">
        <f>+W26*(1+(#REF!)/(W$37))</f>
        <v/>
      </c>
      <c r="Y26" s="28" t="n">
        <v>0</v>
      </c>
      <c r="Z26" s="5">
        <f>+X26+Y26</f>
        <v/>
      </c>
      <c r="AA26" s="5">
        <f>+Z26*(1+(#REF!)/(Z$37))</f>
        <v/>
      </c>
      <c r="AC26" s="5">
        <f>+AA26+AB26</f>
        <v/>
      </c>
      <c r="AD26" s="5">
        <f>+AC26*(1+(#REF!)/(AC$37))</f>
        <v/>
      </c>
      <c r="AE26" s="5" t="n">
        <v>150000</v>
      </c>
      <c r="AF26" s="5">
        <f>+AD26+AE26</f>
        <v/>
      </c>
      <c r="AG26" s="5">
        <f>+AF26*(1+(#REF!)/(AF$37))</f>
        <v/>
      </c>
      <c r="AI26" s="5">
        <f>+AG26+AH26</f>
        <v/>
      </c>
      <c r="AJ26" s="28">
        <f>+AI26*(1+(#REF!)/(AI$37))</f>
        <v/>
      </c>
      <c r="AK26" s="27">
        <f>B26+D26+G26+J26+M26+P26+S26+V26+Y26+AB26+AE26+AH26</f>
        <v/>
      </c>
      <c r="AL26" s="34">
        <f>-AK26+AJ26</f>
        <v/>
      </c>
      <c r="AM26" s="37">
        <f>Tableau44[[#This Row],[EP TOTALE]]+Tableau44[[#This Row],[INTERETS]]</f>
        <v/>
      </c>
      <c r="AO26" s="42" t="n">
        <v>25</v>
      </c>
      <c r="AP26" s="43" t="inlineStr">
        <is>
          <t>NSOE NKOULI Jean-Baptiste</t>
        </is>
      </c>
      <c r="AQ26" s="44" t="n">
        <v>250000</v>
      </c>
      <c r="AR26" s="44" t="n">
        <v>19723.59170492541</v>
      </c>
      <c r="AS26" s="44" t="n">
        <v>269723.5917049254</v>
      </c>
      <c r="AT26" s="44" t="n"/>
      <c r="AU26" s="42" t="n"/>
    </row>
    <row r="27">
      <c r="A27" s="5" t="inlineStr">
        <is>
          <t>NYECK PONDI Etienne</t>
        </is>
      </c>
      <c r="B27" s="28" t="n">
        <v>600000</v>
      </c>
      <c r="C27" s="5">
        <f>B27*(1+(#REF!)/(B$37))</f>
        <v/>
      </c>
      <c r="D27" s="28" t="n"/>
      <c r="E27" s="5">
        <f>+D27+C27</f>
        <v/>
      </c>
      <c r="F27" s="5">
        <f>+E27*(1+(#REF!)/(E$37))</f>
        <v/>
      </c>
      <c r="G27" s="28" t="n"/>
      <c r="H27" s="5">
        <f>+F27+G27</f>
        <v/>
      </c>
      <c r="I27" s="5">
        <f>+H27*(1+(#REF!)/(H$37))</f>
        <v/>
      </c>
      <c r="J27" s="28" t="n"/>
      <c r="K27" s="5">
        <f>+I27+J27</f>
        <v/>
      </c>
      <c r="L27" s="5">
        <f>+K27*(1+(#REF!)/(K$37))</f>
        <v/>
      </c>
      <c r="M27" s="28" t="n">
        <v>150000</v>
      </c>
      <c r="N27" s="5">
        <f>+L27+M27</f>
        <v/>
      </c>
      <c r="O27" s="5">
        <f>+N27*(1+(#REF!)/(N$37))</f>
        <v/>
      </c>
      <c r="P27" s="28" t="n"/>
      <c r="Q27" s="5">
        <f>+O27+P27</f>
        <v/>
      </c>
      <c r="R27" s="5">
        <f>+Q27*(1+(#REF!)/(Q$37))</f>
        <v/>
      </c>
      <c r="S27" s="28" t="n"/>
      <c r="T27" s="5">
        <f>+R27+S27</f>
        <v/>
      </c>
      <c r="U27" s="5">
        <f>+T27*(1+(#REF!)/(T$37))</f>
        <v/>
      </c>
      <c r="V27" s="28" t="n"/>
      <c r="W27" s="5">
        <f>+U27+V27</f>
        <v/>
      </c>
      <c r="X27" s="5">
        <f>+W27*(1+(#REF!)/(W$37))</f>
        <v/>
      </c>
      <c r="Y27" s="28" t="n"/>
      <c r="Z27" s="5">
        <f>+X27+Y27</f>
        <v/>
      </c>
      <c r="AA27" s="5">
        <f>+Z27*(1+(#REF!)/(Z$37))</f>
        <v/>
      </c>
      <c r="AC27" s="5">
        <f>+AA27+AB27</f>
        <v/>
      </c>
      <c r="AD27" s="5">
        <f>+AC27*(1+(#REF!)/(AC$37))</f>
        <v/>
      </c>
      <c r="AF27" s="5">
        <f>+AD27+AE27</f>
        <v/>
      </c>
      <c r="AG27" s="5">
        <f>+AF27*(1+(#REF!)/(AF$37))</f>
        <v/>
      </c>
      <c r="AI27" s="5">
        <f>+AG27+AH27</f>
        <v/>
      </c>
      <c r="AJ27" s="28">
        <f>+AI27*(1+(#REF!)/(AI$37))</f>
        <v/>
      </c>
      <c r="AK27" s="27">
        <f>B27+D27+G27+J27+M27+P27+S27+V27+Y27+AB27+AE27+AH27</f>
        <v/>
      </c>
      <c r="AL27" s="34">
        <f>-AK27+AJ27</f>
        <v/>
      </c>
      <c r="AM27" s="37">
        <f>Tableau44[[#This Row],[EP TOTALE]]+Tableau44[[#This Row],[INTERETS]]</f>
        <v/>
      </c>
      <c r="AO27" s="42" t="n">
        <v>26</v>
      </c>
      <c r="AP27" s="42" t="inlineStr">
        <is>
          <t>NYECK PONDI Etienne</t>
        </is>
      </c>
      <c r="AQ27" s="44" t="n">
        <v>750000</v>
      </c>
      <c r="AR27" s="44" t="n">
        <v>118930.4267999966</v>
      </c>
      <c r="AS27" s="44" t="n">
        <v>868930.4267999966</v>
      </c>
      <c r="AT27" s="44" t="n"/>
      <c r="AU27" s="42" t="n"/>
    </row>
    <row r="28">
      <c r="A28" s="5" t="inlineStr">
        <is>
          <t>OMGBA FOUDA Simon Pierre</t>
        </is>
      </c>
      <c r="B28" s="28" t="n">
        <v>54000</v>
      </c>
      <c r="C28" s="5">
        <f>B28*(1+(#REF!)/(B$37))</f>
        <v/>
      </c>
      <c r="D28" s="28" t="n"/>
      <c r="E28" s="5">
        <f>+D28+C28</f>
        <v/>
      </c>
      <c r="F28" s="5">
        <f>+E28*(1+(#REF!)/(E$37))</f>
        <v/>
      </c>
      <c r="G28" s="28" t="n"/>
      <c r="H28" s="5">
        <f>+F28+G28</f>
        <v/>
      </c>
      <c r="I28" s="5">
        <f>+H28*(1+(#REF!)/(H$37))</f>
        <v/>
      </c>
      <c r="J28" s="28" t="n"/>
      <c r="K28" s="5">
        <f>+I28+J28</f>
        <v/>
      </c>
      <c r="L28" s="5">
        <f>+K28*(1+(#REF!)/(K$37))</f>
        <v/>
      </c>
      <c r="M28" s="28" t="n"/>
      <c r="N28" s="5">
        <f>+L28+M28</f>
        <v/>
      </c>
      <c r="O28" s="5">
        <f>+N28*(1+(#REF!)/(N$37))</f>
        <v/>
      </c>
      <c r="P28" s="28" t="n"/>
      <c r="Q28" s="5">
        <f>+O28+P28</f>
        <v/>
      </c>
      <c r="R28" s="5">
        <f>+Q28*(1+(#REF!)/(Q$37))</f>
        <v/>
      </c>
      <c r="S28" s="28" t="n"/>
      <c r="T28" s="5">
        <f>+R28+S28</f>
        <v/>
      </c>
      <c r="U28" s="5">
        <f>+T28*(1+(#REF!)/(T$37))</f>
        <v/>
      </c>
      <c r="V28" s="28" t="n"/>
      <c r="W28" s="5">
        <f>+U28+V28</f>
        <v/>
      </c>
      <c r="X28" s="5">
        <f>+W28*(1+(#REF!)/(W$37))</f>
        <v/>
      </c>
      <c r="Y28" s="28" t="n">
        <v>100000</v>
      </c>
      <c r="Z28" s="5">
        <f>+X28+Y28</f>
        <v/>
      </c>
      <c r="AA28" s="5">
        <f>+Z28*(1+(#REF!)/(Z$37))</f>
        <v/>
      </c>
      <c r="AC28" s="5">
        <f>+AA28+AB28</f>
        <v/>
      </c>
      <c r="AD28" s="5">
        <f>+AC28*(1+(#REF!)/(AC$37))</f>
        <v/>
      </c>
      <c r="AF28" s="5">
        <f>+AD28+AE28</f>
        <v/>
      </c>
      <c r="AG28" s="5">
        <f>+AF28*(1+(#REF!)/(AF$37))</f>
        <v/>
      </c>
      <c r="AI28" s="5">
        <f>+AG28+AH28</f>
        <v/>
      </c>
      <c r="AJ28" s="28">
        <f>+AI28*(1+(#REF!)/(AI$37))</f>
        <v/>
      </c>
      <c r="AK28" s="27">
        <f>B28+D28+G28+J28+M28+P28+S28+V28+Y28+AB28+AE28+AH28</f>
        <v/>
      </c>
      <c r="AL28" s="34">
        <f>-AK28+AJ28</f>
        <v/>
      </c>
      <c r="AM28" s="37">
        <f>Tableau44[[#This Row],[EP TOTALE]]+Tableau44[[#This Row],[INTERETS]]</f>
        <v/>
      </c>
      <c r="AO28" s="42" t="n">
        <v>27</v>
      </c>
      <c r="AP28" s="43" t="inlineStr">
        <is>
          <t>OMGBA FOUDA Simon Pierre</t>
        </is>
      </c>
      <c r="AQ28" s="44" t="n">
        <v>304000</v>
      </c>
      <c r="AR28" s="44" t="n">
        <v>38235.21038387285</v>
      </c>
      <c r="AS28" s="44" t="n">
        <v>342235.2103838729</v>
      </c>
      <c r="AT28" s="44" t="n"/>
      <c r="AU28" s="42" t="n"/>
    </row>
    <row r="29">
      <c r="A29" s="5" t="inlineStr">
        <is>
          <t>OMGBA MIMBOE Gaetan</t>
        </is>
      </c>
      <c r="B29" s="28" t="n">
        <v>300000</v>
      </c>
      <c r="C29" s="5">
        <f>B29*(1+(#REF!)/(B$37))</f>
        <v/>
      </c>
      <c r="D29" s="28" t="n"/>
      <c r="E29" s="5">
        <f>+D29+C29</f>
        <v/>
      </c>
      <c r="F29" s="5">
        <f>+E29*(1+(#REF!)/(E$37))</f>
        <v/>
      </c>
      <c r="G29" s="28" t="n"/>
      <c r="H29" s="5">
        <f>+F29+G29</f>
        <v/>
      </c>
      <c r="I29" s="5">
        <f>+H29*(1+(#REF!)/(H$37))</f>
        <v/>
      </c>
      <c r="J29" s="28" t="n"/>
      <c r="K29" s="5">
        <f>+I29+J29</f>
        <v/>
      </c>
      <c r="L29" s="5">
        <f>+K29*(1+(#REF!)/(K$37))</f>
        <v/>
      </c>
      <c r="M29" s="28" t="n">
        <v>200000</v>
      </c>
      <c r="N29" s="5">
        <f>+L29+M29</f>
        <v/>
      </c>
      <c r="O29" s="5">
        <f>+N29*(1+(#REF!)/(N$37))</f>
        <v/>
      </c>
      <c r="P29" s="28" t="n">
        <v>50000</v>
      </c>
      <c r="Q29" s="5">
        <f>+O29+P29</f>
        <v/>
      </c>
      <c r="R29" s="5">
        <f>+Q29*(1+(#REF!)/(Q$37))</f>
        <v/>
      </c>
      <c r="S29" s="28" t="n"/>
      <c r="T29" s="5">
        <f>+R29+S29</f>
        <v/>
      </c>
      <c r="U29" s="5">
        <f>+T29*(1+(#REF!)/(T$37))</f>
        <v/>
      </c>
      <c r="V29" s="28" t="n"/>
      <c r="W29" s="5">
        <f>+U29+V29</f>
        <v/>
      </c>
      <c r="X29" s="5">
        <f>+W29*(1+(#REF!)/(W$37))</f>
        <v/>
      </c>
      <c r="Y29" s="28" t="n">
        <v>50000</v>
      </c>
      <c r="Z29" s="5">
        <f>+X29+Y29</f>
        <v/>
      </c>
      <c r="AA29" s="5">
        <f>+Z29*(1+(#REF!)/(Z$37))</f>
        <v/>
      </c>
      <c r="AC29" s="5">
        <f>+AA29+AB29</f>
        <v/>
      </c>
      <c r="AD29" s="5">
        <f>+AC29*(1+(#REF!)/(AC$37))</f>
        <v/>
      </c>
      <c r="AF29" s="5">
        <f>+AD29+AE29</f>
        <v/>
      </c>
      <c r="AG29" s="5">
        <f>+AF29*(1+(#REF!)/(AF$37))</f>
        <v/>
      </c>
      <c r="AI29" s="5">
        <f>+AG29+AH29</f>
        <v/>
      </c>
      <c r="AJ29" s="28">
        <f>+AI29*(1+(#REF!)/(AI$37))</f>
        <v/>
      </c>
      <c r="AK29" s="27">
        <f>B29+D29+G29+J29+M29+P29+S29+V29+Y29+AB29+AE29+AH29</f>
        <v/>
      </c>
      <c r="AL29" s="34">
        <f>-AK29+AJ29</f>
        <v/>
      </c>
      <c r="AM29" s="37">
        <f>Tableau44[[#This Row],[EP TOTALE]]+Tableau44[[#This Row],[INTERETS]]</f>
        <v/>
      </c>
      <c r="AO29" s="42" t="n">
        <v>28</v>
      </c>
      <c r="AP29" s="42" t="inlineStr">
        <is>
          <t>OMGBA MIMBOE Gaetan</t>
        </is>
      </c>
      <c r="AQ29" s="44" t="n">
        <v>747000</v>
      </c>
      <c r="AR29" s="44" t="n">
        <v>100383.2278955362</v>
      </c>
      <c r="AS29" s="44" t="n">
        <v>847383.2278955362</v>
      </c>
      <c r="AT29" s="44" t="n"/>
      <c r="AU29" s="42" t="n"/>
    </row>
    <row r="30">
      <c r="A30" s="5" t="inlineStr">
        <is>
          <t>ONANA NKADA Laurent S.</t>
        </is>
      </c>
      <c r="B30" s="28" t="n">
        <v>106000</v>
      </c>
      <c r="C30" s="5">
        <f>B30*(1+(#REF!)/(B$37))</f>
        <v/>
      </c>
      <c r="D30" s="28" t="n"/>
      <c r="E30" s="5">
        <f>+D30+C30</f>
        <v/>
      </c>
      <c r="F30" s="5">
        <f>+E30*(1+(#REF!)/(E$37))</f>
        <v/>
      </c>
      <c r="G30" s="28" t="n"/>
      <c r="H30" s="5">
        <f>+F30+G30</f>
        <v/>
      </c>
      <c r="I30" s="5">
        <f>+H30*(1+(#REF!)/(H$37))</f>
        <v/>
      </c>
      <c r="J30" s="28" t="n"/>
      <c r="K30" s="5">
        <f>+I30+J30</f>
        <v/>
      </c>
      <c r="L30" s="5">
        <f>+K30*(1+(#REF!)/(K$37))</f>
        <v/>
      </c>
      <c r="M30" s="28" t="n"/>
      <c r="N30" s="5">
        <f>+L30+M30</f>
        <v/>
      </c>
      <c r="O30" s="5">
        <f>+N30*(1+(#REF!)/(N$37))</f>
        <v/>
      </c>
      <c r="P30" s="28" t="n"/>
      <c r="Q30" s="5">
        <f>+O30+P30</f>
        <v/>
      </c>
      <c r="R30" s="5">
        <f>+Q30*(1+(#REF!)/(Q$37))</f>
        <v/>
      </c>
      <c r="S30" s="28" t="n"/>
      <c r="T30" s="5">
        <f>+R30+S30</f>
        <v/>
      </c>
      <c r="U30" s="5">
        <f>+T30*(1+(#REF!)/(T$37))</f>
        <v/>
      </c>
      <c r="V30" s="28" t="n"/>
      <c r="W30" s="5">
        <f>+U30+V30</f>
        <v/>
      </c>
      <c r="X30" s="5">
        <f>+W30*(1+(#REF!)/(W$37))</f>
        <v/>
      </c>
      <c r="Y30" s="28" t="n">
        <v>5000</v>
      </c>
      <c r="Z30" s="5">
        <f>+X30+Y30</f>
        <v/>
      </c>
      <c r="AA30" s="5">
        <f>+Z30*(1+(#REF!)/(Z$37))</f>
        <v/>
      </c>
      <c r="AC30" s="5">
        <f>+AA30+AB30</f>
        <v/>
      </c>
      <c r="AD30" s="5">
        <f>+AC30*(1+(#REF!)/(AC$37))</f>
        <v/>
      </c>
      <c r="AF30" s="5">
        <f>+AD30+AE30</f>
        <v/>
      </c>
      <c r="AG30" s="5">
        <f>+AF30*(1+(#REF!)/(AF$37))</f>
        <v/>
      </c>
      <c r="AI30" s="5">
        <f>+AG30+AH30</f>
        <v/>
      </c>
      <c r="AJ30" s="28">
        <f>+AI30*(1+(#REF!)/(AI$37))</f>
        <v/>
      </c>
      <c r="AK30" s="27">
        <f>B30+D30+G30+J30+M30+P30+S30+V30+Y30+AB30+AE30+AH30</f>
        <v/>
      </c>
      <c r="AL30" s="34">
        <f>-AK30+AJ30</f>
        <v/>
      </c>
      <c r="AM30" s="37">
        <f>Tableau44[[#This Row],[EP TOTALE]]+Tableau44[[#This Row],[INTERETS]]</f>
        <v/>
      </c>
      <c r="AO30" s="42" t="n">
        <v>29</v>
      </c>
      <c r="AP30" s="43" t="inlineStr">
        <is>
          <t>ONANA NKADA Laurent S.</t>
        </is>
      </c>
      <c r="AQ30" s="44" t="n">
        <v>111000</v>
      </c>
      <c r="AR30" s="44" t="n">
        <v>18431.4518610942</v>
      </c>
      <c r="AS30" s="44" t="n">
        <v>129431.4518610942</v>
      </c>
      <c r="AT30" s="44" t="n"/>
      <c r="AU30" s="42" t="n"/>
    </row>
    <row r="31">
      <c r="A31" s="5" t="inlineStr">
        <is>
          <t>ONDOA Jean</t>
        </is>
      </c>
      <c r="B31" s="28" t="n">
        <v>94000</v>
      </c>
      <c r="C31" s="5">
        <f>B31*(1+(#REF!)/(B$37))</f>
        <v/>
      </c>
      <c r="D31" s="28" t="n"/>
      <c r="E31" s="5">
        <f>+D31+C31</f>
        <v/>
      </c>
      <c r="F31" s="5">
        <f>+E31*(1+(#REF!)/(E$37))</f>
        <v/>
      </c>
      <c r="G31" s="28" t="n"/>
      <c r="H31" s="5">
        <f>+F31+G31</f>
        <v/>
      </c>
      <c r="I31" s="5">
        <f>+H31*(1+(#REF!)/(H$37))</f>
        <v/>
      </c>
      <c r="J31" s="28" t="n"/>
      <c r="K31" s="5">
        <f>+I31+J31</f>
        <v/>
      </c>
      <c r="L31" s="5">
        <f>+K31*(1+(#REF!)/(K$37))</f>
        <v/>
      </c>
      <c r="M31" s="28" t="n"/>
      <c r="N31" s="5">
        <f>+L31+M31</f>
        <v/>
      </c>
      <c r="O31" s="5">
        <f>+N31*(1+(#REF!)/(N$37))</f>
        <v/>
      </c>
      <c r="P31" s="28" t="n">
        <v>88000</v>
      </c>
      <c r="Q31" s="5">
        <f>+O31+P31</f>
        <v/>
      </c>
      <c r="R31" s="5">
        <f>+Q31*(1+(#REF!)/(Q$37))</f>
        <v/>
      </c>
      <c r="S31" s="28" t="n"/>
      <c r="T31" s="5">
        <f>+R31+S31</f>
        <v/>
      </c>
      <c r="U31" s="5">
        <f>+T31*(1+(#REF!)/(T$37))</f>
        <v/>
      </c>
      <c r="V31" s="28" t="n"/>
      <c r="W31" s="5">
        <f>+U31+V31</f>
        <v/>
      </c>
      <c r="X31" s="5">
        <f>+W31*(1+(#REF!)/(W$37))</f>
        <v/>
      </c>
      <c r="Y31" s="28" t="n"/>
      <c r="Z31" s="5">
        <f>+X31+Y31</f>
        <v/>
      </c>
      <c r="AA31" s="5">
        <f>+Z31*(1+(#REF!)/(Z$37))</f>
        <v/>
      </c>
      <c r="AC31" s="5">
        <f>+AA31+AB31</f>
        <v/>
      </c>
      <c r="AD31" s="5">
        <f>+AC31*(1+(#REF!)/(AC$37))</f>
        <v/>
      </c>
      <c r="AF31" s="5">
        <f>+AD31+AE31</f>
        <v/>
      </c>
      <c r="AG31" s="5">
        <f>+AF31*(1+(#REF!)/(AF$37))</f>
        <v/>
      </c>
      <c r="AI31" s="5">
        <f>+AG31+AH31</f>
        <v/>
      </c>
      <c r="AJ31" s="28">
        <f>+AI31*(1+(#REF!)/(AI$37))</f>
        <v/>
      </c>
      <c r="AK31" s="27">
        <f>B31+D31+G31+J31+M31+P31+S31+V31+Y31+AB31+AE31+AH31</f>
        <v/>
      </c>
      <c r="AL31" s="34">
        <f>-AK31+AJ31</f>
        <v/>
      </c>
      <c r="AM31" s="37">
        <f>Tableau44[[#This Row],[EP TOTALE]]+Tableau44[[#This Row],[INTERETS]]</f>
        <v/>
      </c>
      <c r="AO31" s="42" t="n">
        <v>30</v>
      </c>
      <c r="AP31" s="42" t="inlineStr">
        <is>
          <t>ONDOA Jean</t>
        </is>
      </c>
      <c r="AQ31" s="44" t="n">
        <v>182000</v>
      </c>
      <c r="AR31" s="44" t="n">
        <v>24437.80621678632</v>
      </c>
      <c r="AS31" s="44" t="n">
        <v>206437.8062167863</v>
      </c>
      <c r="AT31" s="44" t="n"/>
      <c r="AU31" s="42" t="n"/>
    </row>
    <row r="32">
      <c r="A32" s="5" t="inlineStr">
        <is>
          <t>TSANGA TSANGA Christol</t>
        </is>
      </c>
      <c r="B32" s="28" t="n">
        <v>32800</v>
      </c>
      <c r="C32" s="5">
        <f>B32*(1+(#REF!)/(B$37))</f>
        <v/>
      </c>
      <c r="D32" s="28" t="n"/>
      <c r="E32" s="5">
        <f>+D32+C32</f>
        <v/>
      </c>
      <c r="F32" s="5">
        <f>+E32*(1+(#REF!)/(E$37))</f>
        <v/>
      </c>
      <c r="G32" s="28" t="n"/>
      <c r="H32" s="5">
        <f>+F32+G32</f>
        <v/>
      </c>
      <c r="I32" s="5">
        <f>+H32*(1+(#REF!)/(H$37))</f>
        <v/>
      </c>
      <c r="J32" s="28" t="n"/>
      <c r="K32" s="5">
        <f>+I32+J32</f>
        <v/>
      </c>
      <c r="L32" s="5">
        <f>+K32*(1+(#REF!)/(K$37))</f>
        <v/>
      </c>
      <c r="M32" s="28" t="n"/>
      <c r="N32" s="5">
        <f>+L32+M32</f>
        <v/>
      </c>
      <c r="O32" s="5">
        <f>+N32*(1+(#REF!)/(N$37))</f>
        <v/>
      </c>
      <c r="P32" s="28" t="n"/>
      <c r="Q32" s="5">
        <f>+O32+P32</f>
        <v/>
      </c>
      <c r="R32" s="5">
        <f>+Q32*(1+(#REF!)/(Q$37))</f>
        <v/>
      </c>
      <c r="S32" s="28" t="n">
        <v>100000</v>
      </c>
      <c r="T32" s="5">
        <f>+R32+S32</f>
        <v/>
      </c>
      <c r="U32" s="5">
        <f>+T32*(1+(#REF!)/(T$37))</f>
        <v/>
      </c>
      <c r="V32" s="28" t="n"/>
      <c r="W32" s="5">
        <f>+U32+V32</f>
        <v/>
      </c>
      <c r="X32" s="5">
        <f>+W32*(1+(#REF!)/(W$37))</f>
        <v/>
      </c>
      <c r="Y32" s="28" t="n"/>
      <c r="Z32" s="5">
        <f>+X32+Y32</f>
        <v/>
      </c>
      <c r="AA32" s="5">
        <f>+Z32*(1+(#REF!)/(Z$37))</f>
        <v/>
      </c>
      <c r="AC32" s="5">
        <f>+AA32+AB32</f>
        <v/>
      </c>
      <c r="AD32" s="5">
        <f>+AC32*(1+(#REF!)/(AC$37))</f>
        <v/>
      </c>
      <c r="AE32" s="5" t="n">
        <v>2000</v>
      </c>
      <c r="AF32" s="5">
        <f>+AD32+AE32</f>
        <v/>
      </c>
      <c r="AG32" s="5">
        <f>+AF32*(1+(#REF!)/(AF$37))</f>
        <v/>
      </c>
      <c r="AI32" s="5">
        <f>+AG32+AH32</f>
        <v/>
      </c>
      <c r="AJ32" s="28">
        <f>+AI32*(1+(#REF!)/(AI$37))</f>
        <v/>
      </c>
      <c r="AK32" s="27">
        <f>B32+D32+G32+J32+M32+P32+S32+V32+Y32+AB32+AE32+AH32</f>
        <v/>
      </c>
      <c r="AL32" s="34">
        <f>-AK32+AJ32</f>
        <v/>
      </c>
      <c r="AM32" s="37">
        <f>Tableau44[[#This Row],[EP TOTALE]]+Tableau44[[#This Row],[INTERETS]]</f>
        <v/>
      </c>
      <c r="AO32" s="42" t="n">
        <v>31</v>
      </c>
      <c r="AP32" s="43" t="inlineStr">
        <is>
          <t>TSANGA TSANGA Christol</t>
        </is>
      </c>
      <c r="AQ32" s="44" t="n">
        <v>134800</v>
      </c>
      <c r="AR32" s="44" t="n">
        <v>13711.17529464062</v>
      </c>
      <c r="AS32" s="44" t="n">
        <v>148511.1752946406</v>
      </c>
      <c r="AT32" s="44" t="n"/>
      <c r="AU32" s="42" t="n"/>
    </row>
    <row r="33">
      <c r="A33" s="14" t="inlineStr">
        <is>
          <t>ZE ANDJE Eric</t>
        </is>
      </c>
      <c r="B33" s="30" t="n">
        <v>104000</v>
      </c>
      <c r="C33" s="5">
        <f>B33*(1+(#REF!)/(B$37))</f>
        <v/>
      </c>
      <c r="D33" s="30" t="n"/>
      <c r="E33" s="14">
        <f>+D33+C33</f>
        <v/>
      </c>
      <c r="F33" s="5">
        <f>+E33*(1+(#REF!)/(E$37))</f>
        <v/>
      </c>
      <c r="G33" s="30" t="n"/>
      <c r="H33" s="14">
        <f>+F33+G33</f>
        <v/>
      </c>
      <c r="I33" s="5">
        <f>+H33*(1+(#REF!)/(H$37))</f>
        <v/>
      </c>
      <c r="J33" s="30" t="n"/>
      <c r="K33" s="14">
        <f>+I33+J33</f>
        <v/>
      </c>
      <c r="L33" s="14">
        <f>+K33*(1+(#REF!)/(K$37))</f>
        <v/>
      </c>
      <c r="M33" s="30" t="n">
        <v>100000</v>
      </c>
      <c r="N33" s="14">
        <f>+L33+M33</f>
        <v/>
      </c>
      <c r="O33" s="14">
        <f>+N33*(1+(#REF!)/(N$37))</f>
        <v/>
      </c>
      <c r="P33" s="30" t="n"/>
      <c r="Q33" s="14">
        <f>+O33+P33</f>
        <v/>
      </c>
      <c r="R33" s="14">
        <f>+Q33*(1+(#REF!)/(Q$37))</f>
        <v/>
      </c>
      <c r="S33" s="30" t="n"/>
      <c r="T33" s="14">
        <f>+R33+S33</f>
        <v/>
      </c>
      <c r="U33" s="14">
        <f>+T33*(1+(#REF!)/(T$37))</f>
        <v/>
      </c>
      <c r="V33" s="30" t="n"/>
      <c r="W33" s="14">
        <f>+U33+V33</f>
        <v/>
      </c>
      <c r="X33" s="14">
        <f>+W33*(1+(#REF!)/(W$37))</f>
        <v/>
      </c>
      <c r="Y33" s="30" t="n"/>
      <c r="Z33" s="14">
        <f>+X33+Y33</f>
        <v/>
      </c>
      <c r="AA33" s="14">
        <f>+Z33*(1+(#REF!)/(Z$37))</f>
        <v/>
      </c>
      <c r="AB33" s="14" t="n"/>
      <c r="AC33" s="14">
        <f>+AA33+AB33</f>
        <v/>
      </c>
      <c r="AD33" s="14">
        <f>+AC33*(1+(#REF!)/(AC$37))</f>
        <v/>
      </c>
      <c r="AE33" s="14" t="n"/>
      <c r="AF33" s="14">
        <f>+AD33+AE33</f>
        <v/>
      </c>
      <c r="AG33" s="14">
        <f>+AF33*(1+(#REF!)/(AF$37))</f>
        <v/>
      </c>
      <c r="AI33" s="14">
        <f>+AG33+AH33</f>
        <v/>
      </c>
      <c r="AJ33" s="30">
        <f>+AI33*(1+(#REF!)/(AI$37))</f>
        <v/>
      </c>
      <c r="AK33" s="27">
        <f>B33+D33+G33+J33+M33+P33+S33+V33+Y33+AB33+AE33+AH33</f>
        <v/>
      </c>
      <c r="AL33" s="39">
        <f>-AK33+AJ33</f>
        <v/>
      </c>
      <c r="AM33" s="40">
        <f>Tableau44[[#This Row],[EP TOTALE]]+Tableau44[[#This Row],[INTERETS]]</f>
        <v/>
      </c>
      <c r="AO33" s="42" t="n">
        <v>32</v>
      </c>
      <c r="AP33" s="42" t="inlineStr">
        <is>
          <t>ZE ANDJE Eric</t>
        </is>
      </c>
      <c r="AQ33" s="44" t="n">
        <v>344000</v>
      </c>
      <c r="AR33" s="44" t="n">
        <v>45889.9074287556</v>
      </c>
      <c r="AS33" s="44" t="n">
        <v>389889.9074287556</v>
      </c>
      <c r="AT33" s="44" t="n"/>
      <c r="AU33" s="42" t="n"/>
    </row>
    <row r="34">
      <c r="A34" s="5" t="inlineStr">
        <is>
          <t>SECOURS / CAYA</t>
        </is>
      </c>
      <c r="B34" s="28" t="n">
        <v>500000</v>
      </c>
      <c r="C34" s="5">
        <f>B34*(1+(#REF!)/(B$37))</f>
        <v/>
      </c>
      <c r="D34" s="30" t="n"/>
      <c r="E34" s="14">
        <f>+D34+C34</f>
        <v/>
      </c>
      <c r="F34" s="14">
        <f>+E34*(1+(#REF!)/(E$37))</f>
        <v/>
      </c>
      <c r="G34" s="30" t="n"/>
      <c r="H34" s="14">
        <f>+F34+G34</f>
        <v/>
      </c>
      <c r="I34" s="5">
        <f>+H34*(1+(#REF!)/(H$37))</f>
        <v/>
      </c>
      <c r="J34" s="30" t="n"/>
      <c r="K34" s="14">
        <f>+I34+J34</f>
        <v/>
      </c>
      <c r="L34" s="14">
        <f>+K34*(1+(#REF!)/(K$37))</f>
        <v/>
      </c>
      <c r="M34" s="30" t="n"/>
      <c r="N34" s="14">
        <f>+L34+M34</f>
        <v/>
      </c>
      <c r="O34" s="14">
        <f>+N34*(1+(#REF!)/(N$37))</f>
        <v/>
      </c>
      <c r="P34" s="30" t="n"/>
      <c r="Q34" s="14">
        <f>+O34+P34</f>
        <v/>
      </c>
      <c r="R34" s="14">
        <f>+Q34*(1+(#REF!)/(Q$37))</f>
        <v/>
      </c>
      <c r="S34" s="30" t="n"/>
      <c r="T34" s="14">
        <f>+R34+S34</f>
        <v/>
      </c>
      <c r="U34" s="14">
        <f>+T34*(1+(#REF!)/(T$37))</f>
        <v/>
      </c>
      <c r="V34" s="30" t="n"/>
      <c r="W34" s="14">
        <f>+U34+V34</f>
        <v/>
      </c>
      <c r="X34" s="14">
        <f>+W34*(1+(#REF!)/(W$37))</f>
        <v/>
      </c>
      <c r="Y34" s="30" t="n"/>
      <c r="Z34" s="14">
        <f>+X34+Y34</f>
        <v/>
      </c>
      <c r="AA34" s="14">
        <f>+Z34*(1+(#REF!)/(Z$37))</f>
        <v/>
      </c>
      <c r="AB34" s="14" t="n"/>
      <c r="AC34" s="14">
        <f>+AA34+AB34</f>
        <v/>
      </c>
      <c r="AD34" s="14">
        <f>+AC34*(1+(#REF!)/(AC$37))</f>
        <v/>
      </c>
      <c r="AE34" s="14" t="n"/>
      <c r="AF34" s="14">
        <f>+AD34+AE34</f>
        <v/>
      </c>
      <c r="AG34" s="14">
        <f>+AF34*(1+(#REF!)/(AF$37))</f>
        <v/>
      </c>
      <c r="AI34" s="14">
        <f>+AG34+AH34</f>
        <v/>
      </c>
      <c r="AJ34" s="30">
        <f>+AI34*(1+(#REF!)/(AI$37))</f>
        <v/>
      </c>
      <c r="AK34" s="27">
        <f>B34+D34+G34+J34+M34+P34+S34+V34+Y34+AB34+AE34+AH34</f>
        <v/>
      </c>
      <c r="AL34" s="39">
        <f>-AK34+AJ34</f>
        <v/>
      </c>
      <c r="AM34" s="40">
        <f>Tableau44[[#This Row],[EP TOTALE]]+Tableau44[[#This Row],[INTERETS]]</f>
        <v/>
      </c>
      <c r="AO34" s="42" t="n">
        <v>33</v>
      </c>
      <c r="AP34" s="43" t="inlineStr">
        <is>
          <t>SECOURS / CAYA</t>
        </is>
      </c>
      <c r="AQ34" s="44" t="n">
        <v>500000</v>
      </c>
      <c r="AR34" s="44" t="n">
        <v>85671.76831509173</v>
      </c>
      <c r="AS34" s="44" t="n">
        <v>585671.7683150917</v>
      </c>
      <c r="AT34" s="44" t="n"/>
      <c r="AU34" s="42" t="n"/>
    </row>
    <row r="35">
      <c r="A35" s="14" t="inlineStr">
        <is>
          <t>BUREAU</t>
        </is>
      </c>
      <c r="B35" s="30" t="n">
        <v>410000</v>
      </c>
      <c r="C35" s="5">
        <f>B35*(1+(#REF!)/(B$37))</f>
        <v/>
      </c>
      <c r="D35" s="30" t="n"/>
      <c r="E35" s="14">
        <f>+D35+C35</f>
        <v/>
      </c>
      <c r="F35" s="14">
        <f>+E35*(1+(#REF!)/(E$37))</f>
        <v/>
      </c>
      <c r="G35" s="30" t="n"/>
      <c r="H35" s="14">
        <f>+F35+G35</f>
        <v/>
      </c>
      <c r="I35" s="5">
        <f>+H35*(1+(#REF!)/(H$37))</f>
        <v/>
      </c>
      <c r="J35" s="30" t="n"/>
      <c r="K35" s="14">
        <f>+I35+J35</f>
        <v/>
      </c>
      <c r="L35" s="14">
        <f>+K35*(1+(#REF!)/(K$37))</f>
        <v/>
      </c>
      <c r="M35" s="30" t="n"/>
      <c r="N35" s="14">
        <f>+L35+M35</f>
        <v/>
      </c>
      <c r="O35" s="14">
        <f>+N35*(1+(#REF!)/(N$37))</f>
        <v/>
      </c>
      <c r="P35" s="30" t="n"/>
      <c r="Q35" s="14">
        <f>+O35+P35</f>
        <v/>
      </c>
      <c r="R35" s="14">
        <f>+Q35*(1+(#REF!)/(Q$37))</f>
        <v/>
      </c>
      <c r="S35" s="30" t="n"/>
      <c r="T35" s="14">
        <f>+R35+S35</f>
        <v/>
      </c>
      <c r="U35" s="14">
        <f>+T35*(1+(#REF!)/(T$37))</f>
        <v/>
      </c>
      <c r="V35" s="30" t="n"/>
      <c r="W35" s="14">
        <f>+U35+V35</f>
        <v/>
      </c>
      <c r="X35" s="14">
        <f>+W35*(1+(#REF!)/(W$37))</f>
        <v/>
      </c>
      <c r="Y35" s="30" t="n"/>
      <c r="Z35" s="14">
        <f>+X35+Y35</f>
        <v/>
      </c>
      <c r="AA35" s="14">
        <f>+Z35*(1+(#REF!)/(Z$37))</f>
        <v/>
      </c>
      <c r="AB35" s="14" t="n"/>
      <c r="AC35" s="14">
        <f>+AA35+AB35</f>
        <v/>
      </c>
      <c r="AD35" s="14">
        <f>+AC35*(1+(#REF!)/(AC$37))</f>
        <v/>
      </c>
      <c r="AE35" s="14" t="n"/>
      <c r="AF35" s="14">
        <f>+AD35+AE35</f>
        <v/>
      </c>
      <c r="AG35" s="14">
        <f>+AF35*(1+(#REF!)/(AF$37))</f>
        <v/>
      </c>
      <c r="AI35" s="14">
        <f>+AG35+AH35</f>
        <v/>
      </c>
      <c r="AJ35" s="30">
        <f>+AI35*(1+(#REF!)/(AI$37))</f>
        <v/>
      </c>
      <c r="AK35" s="27">
        <f>B35+D35+G35+J35+M35+P35+S35+V35+Y35+AB35+AE35+AH35</f>
        <v/>
      </c>
      <c r="AL35" s="39">
        <f>-AK35+AJ35</f>
        <v/>
      </c>
      <c r="AM35" s="40">
        <f>Tableau44[[#This Row],[EP TOTALE]]+Tableau44[[#This Row],[INTERETS]]</f>
        <v/>
      </c>
      <c r="AO35" s="42" t="n">
        <v>34</v>
      </c>
      <c r="AP35" s="42" t="inlineStr">
        <is>
          <t>BUREAU</t>
        </is>
      </c>
      <c r="AQ35" s="44" t="n">
        <v>410000</v>
      </c>
      <c r="AR35" s="44" t="n">
        <v>70250.85001837538</v>
      </c>
      <c r="AS35" s="44" t="n">
        <v>480250.8500183754</v>
      </c>
      <c r="AT35" s="44" t="n"/>
      <c r="AU35" s="42" t="n"/>
    </row>
    <row r="36">
      <c r="A36" s="14" t="inlineStr">
        <is>
          <t>AUTRES / FETE</t>
        </is>
      </c>
      <c r="B36" s="30" t="n"/>
      <c r="C36" s="5">
        <f>B36*(1+(#REF!)/(B$37))</f>
        <v/>
      </c>
      <c r="D36" s="30" t="n"/>
      <c r="E36" s="14">
        <f>+D36+C36</f>
        <v/>
      </c>
      <c r="F36" s="14">
        <f>+E36*(1+(#REF!)/(E$37))</f>
        <v/>
      </c>
      <c r="G36" s="30" t="n"/>
      <c r="H36" s="14">
        <f>+F36+G36</f>
        <v/>
      </c>
      <c r="I36" s="14">
        <f>+H36*(1+(#REF!)/(H$37))</f>
        <v/>
      </c>
      <c r="J36" s="30" t="n"/>
      <c r="K36" s="14">
        <f>+I36+J36</f>
        <v/>
      </c>
      <c r="L36" s="14">
        <f>+K36*(1+(#REF!)/(K$37))</f>
        <v/>
      </c>
      <c r="M36" s="30" t="n"/>
      <c r="N36" s="14">
        <f>+L36+M36</f>
        <v/>
      </c>
      <c r="O36" s="14">
        <f>+N36*(1+(#REF!)/(N$37))</f>
        <v/>
      </c>
      <c r="P36" s="30" t="n"/>
      <c r="Q36" s="14">
        <f>+O36+P36</f>
        <v/>
      </c>
      <c r="R36" s="14">
        <f>+Q36*(1+(#REF!)/(Q$37))</f>
        <v/>
      </c>
      <c r="S36" s="30" t="n"/>
      <c r="T36" s="14">
        <f>+R36+S36</f>
        <v/>
      </c>
      <c r="U36" s="14">
        <f>+T36*(1+(#REF!)/(T$37))</f>
        <v/>
      </c>
      <c r="V36" s="30" t="n"/>
      <c r="W36" s="14">
        <f>+U36+V36</f>
        <v/>
      </c>
      <c r="X36" s="14">
        <f>+W36*(1+(#REF!)/(W$37))</f>
        <v/>
      </c>
      <c r="Y36" s="30" t="n"/>
      <c r="Z36" s="14">
        <f>+X36+Y36</f>
        <v/>
      </c>
      <c r="AA36" s="14">
        <f>+Z36*(1+(#REF!)/(Z$37))</f>
        <v/>
      </c>
      <c r="AB36" s="14" t="n"/>
      <c r="AC36" s="14">
        <f>+AA36+AB36</f>
        <v/>
      </c>
      <c r="AD36" s="14">
        <f>+AC36*(1+(#REF!)/(AC$37))</f>
        <v/>
      </c>
      <c r="AE36" s="14" t="n"/>
      <c r="AF36" s="14">
        <f>+AD36+AE36</f>
        <v/>
      </c>
      <c r="AG36" s="14">
        <f>+AF36*(1+(#REF!)/(AF$37))</f>
        <v/>
      </c>
      <c r="AI36" s="14">
        <f>+AG36+AH36</f>
        <v/>
      </c>
      <c r="AJ36" s="30">
        <f>+AI36*(1+(#REF!)/(AI$37))</f>
        <v/>
      </c>
      <c r="AK36" s="27">
        <f>B36+D36+G36+J36+M36+P36+S36+V36+Y36+AB36+AE36+AH36</f>
        <v/>
      </c>
      <c r="AL36" s="39">
        <f>-AK36+AJ36</f>
        <v/>
      </c>
      <c r="AM36" s="40">
        <f>Tableau44[[#This Row],[EP TOTALE]]+Tableau44[[#This Row],[INTERETS]]</f>
        <v/>
      </c>
      <c r="AO36" s="42" t="n">
        <v>35</v>
      </c>
      <c r="AP36" s="43" t="inlineStr">
        <is>
          <t>AUTRES / FETE</t>
        </is>
      </c>
      <c r="AQ36" s="44" t="n">
        <v>0</v>
      </c>
      <c r="AR36" s="44" t="n">
        <v>0</v>
      </c>
      <c r="AS36" s="44" t="n">
        <v>0</v>
      </c>
      <c r="AT36" s="44" t="n"/>
      <c r="AU36" s="42" t="n"/>
    </row>
    <row r="37">
      <c r="A37" s="5" t="inlineStr">
        <is>
          <t>total</t>
        </is>
      </c>
      <c r="B37" s="29">
        <f>SUM(B2:B36)</f>
        <v/>
      </c>
      <c r="C37" s="28">
        <f>B37*(1+(#REF!)/(B$37))</f>
        <v/>
      </c>
      <c r="D37" s="29">
        <f>SUM(D2:D36)</f>
        <v/>
      </c>
      <c r="E37" s="28">
        <f>+D37+C37</f>
        <v/>
      </c>
      <c r="F37" s="28">
        <f>+E37*(1+(#REF!)/(E$37))</f>
        <v/>
      </c>
      <c r="G37" s="29">
        <f>+SUM(G2:G36)</f>
        <v/>
      </c>
      <c r="H37" s="28">
        <f>+F37+G37</f>
        <v/>
      </c>
      <c r="I37" s="28">
        <f>+H37*(1+(#REF!)/(H$37))</f>
        <v/>
      </c>
      <c r="J37" s="29">
        <f>SUM(J2:J36)</f>
        <v/>
      </c>
      <c r="K37" s="28">
        <f>+I37+J37</f>
        <v/>
      </c>
      <c r="L37" s="28">
        <f>+K37*(1+(#REF!)/(K$37))</f>
        <v/>
      </c>
      <c r="M37" s="29">
        <f>SUM(M2:M36)</f>
        <v/>
      </c>
      <c r="N37" s="28">
        <f>+L37+M37</f>
        <v/>
      </c>
      <c r="O37" s="28">
        <f>+N37*(1+(#REF!)/(N$37))</f>
        <v/>
      </c>
      <c r="P37" s="29">
        <f>+SUM(P2:P36)</f>
        <v/>
      </c>
      <c r="Q37" s="28">
        <f>+O37+P37</f>
        <v/>
      </c>
      <c r="R37" s="28">
        <f>+Q37*(1+(#REF!)/(Q$37))</f>
        <v/>
      </c>
      <c r="S37" s="29">
        <f>+SUM(S2:S36)</f>
        <v/>
      </c>
      <c r="T37" s="28">
        <f>+R37+S37</f>
        <v/>
      </c>
      <c r="U37" s="28">
        <f>+T37*(1+(#REF!)/(T$37))</f>
        <v/>
      </c>
      <c r="V37" s="29">
        <f>+SUM(V2:V36)</f>
        <v/>
      </c>
      <c r="W37" s="28">
        <f>+U37+V37</f>
        <v/>
      </c>
      <c r="X37" s="28">
        <f>+W37*(1+(#REF!)/(W$37))</f>
        <v/>
      </c>
      <c r="Y37" s="29">
        <f>+SUM(Y2:Y36)</f>
        <v/>
      </c>
      <c r="Z37" s="28">
        <f>+X37+Y37</f>
        <v/>
      </c>
      <c r="AA37" s="28">
        <f>+Z37*(1+(#REF!)/(Z$37))</f>
        <v/>
      </c>
      <c r="AB37" s="29">
        <f>+SUM(AB2:AB36)</f>
        <v/>
      </c>
      <c r="AC37" s="28">
        <f>+AA37+AB37</f>
        <v/>
      </c>
      <c r="AD37" s="28">
        <f>+AC37*(1+(#REF!)/(AC$37))</f>
        <v/>
      </c>
      <c r="AE37" s="29">
        <f>+SUM(AE2:AE35)</f>
        <v/>
      </c>
      <c r="AF37" s="28">
        <f>+AD37+AE37</f>
        <v/>
      </c>
      <c r="AG37" s="28">
        <f>+AF37*(1+(#REF!)/(AF$37))</f>
        <v/>
      </c>
      <c r="AH37" s="29">
        <f>+SUM(AH2:AH36)</f>
        <v/>
      </c>
      <c r="AI37" s="28">
        <f>+AG37+AH37</f>
        <v/>
      </c>
      <c r="AJ37" s="28">
        <f>+AI37*(1+(#REF!)/(AI$37))</f>
        <v/>
      </c>
      <c r="AK37" s="27">
        <f>+SUM(AK2:AK36)</f>
        <v/>
      </c>
      <c r="AL37" s="34">
        <f>-AK37+AJ37</f>
        <v/>
      </c>
      <c r="AM37" s="37">
        <f>Tableau44[[#This Row],[EP TOTALE]]+Tableau44[[#This Row],[INTERETS]]</f>
        <v/>
      </c>
      <c r="AO37" s="42" t="n">
        <v>36</v>
      </c>
      <c r="AP37" s="42" t="inlineStr">
        <is>
          <t>total</t>
        </is>
      </c>
      <c r="AQ37" s="44" t="n">
        <v>16811400</v>
      </c>
      <c r="AR37" s="44" t="n">
        <v>1936080.000000004</v>
      </c>
      <c r="AS37" s="44" t="n">
        <v>18747480</v>
      </c>
      <c r="AT37" s="44" t="n"/>
      <c r="AU37" s="42" t="n"/>
    </row>
    <row r="38">
      <c r="AG38" s="4" t="n"/>
      <c r="AH38" s="4" t="n"/>
      <c r="AI38" s="4" t="n"/>
      <c r="AJ38" s="5">
        <f>AJ40/AJ35</f>
        <v/>
      </c>
    </row>
    <row r="39">
      <c r="G39" s="28" t="n">
        <v>1179100</v>
      </c>
      <c r="J39" s="28" t="n">
        <v>1954000</v>
      </c>
      <c r="M39" s="28" t="n">
        <v>1407000</v>
      </c>
      <c r="P39" s="28" t="n">
        <v>973000</v>
      </c>
      <c r="S39" s="28" t="n">
        <v>907000</v>
      </c>
      <c r="V39" s="28" t="n">
        <v>1897000</v>
      </c>
      <c r="Y39" s="28" t="n">
        <v>955000</v>
      </c>
      <c r="AF39" s="5" t="inlineStr">
        <is>
          <t xml:space="preserve"> </t>
        </is>
      </c>
      <c r="AG39" s="4" t="n"/>
      <c r="AH39" s="4" t="n"/>
      <c r="AI39" s="4" t="n"/>
      <c r="AJ39" s="4" t="n"/>
      <c r="AL39" s="38" t="n">
        <v>2386080</v>
      </c>
    </row>
    <row r="40">
      <c r="B40" s="36">
        <f>B44/B37</f>
        <v/>
      </c>
    </row>
    <row r="41"/>
    <row r="42"/>
    <row r="43"/>
    <row r="44">
      <c r="B44" s="5" t="n">
        <v>38000</v>
      </c>
      <c r="C44" s="5" t="n">
        <v>57680</v>
      </c>
      <c r="D44" s="5" t="n">
        <v>168480</v>
      </c>
      <c r="E44" s="5" t="n">
        <v>188880</v>
      </c>
      <c r="F44" s="5" t="n">
        <v>229880</v>
      </c>
      <c r="G44" s="5" t="n">
        <v>258720</v>
      </c>
      <c r="H44" s="5" t="n">
        <v>276600</v>
      </c>
      <c r="I44" s="5" t="n">
        <v>281720</v>
      </c>
      <c r="J44" s="5" t="n">
        <v>313600</v>
      </c>
      <c r="K44" s="5" t="n">
        <v>321600</v>
      </c>
      <c r="L44" s="5" t="n">
        <v>333320</v>
      </c>
      <c r="M44" s="5" t="n">
        <v>0</v>
      </c>
      <c r="N44" s="5" t="n">
        <v>2468480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zoomScaleNormal="10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baseColWidth="10" defaultRowHeight="15"/>
  <cols>
    <col width="24.140625" customWidth="1" min="1" max="1"/>
    <col width="11.5703125" customWidth="1" min="2" max="3"/>
    <col width="12.7109375" customWidth="1" min="4" max="4"/>
    <col width="13.42578125" customWidth="1" min="5" max="6"/>
    <col width="12.28515625" customWidth="1" min="7" max="7"/>
    <col width="11.5703125" bestFit="1" customWidth="1" min="8" max="8"/>
    <col width="12.140625" bestFit="1" customWidth="1" min="9" max="10"/>
    <col width="11.5703125" bestFit="1" customWidth="1" min="11" max="13"/>
    <col width="12.85546875" bestFit="1" customWidth="1" min="14" max="14"/>
    <col width="15.140625" customWidth="1" min="15" max="16"/>
  </cols>
  <sheetData>
    <row r="1">
      <c r="A1" t="inlineStr">
        <is>
          <t>Noms et prénoms</t>
        </is>
      </c>
      <c r="B1" s="24" t="inlineStr">
        <is>
          <t>AOUT</t>
        </is>
      </c>
      <c r="C1" s="24" t="inlineStr">
        <is>
          <t xml:space="preserve"> SEPT</t>
        </is>
      </c>
      <c r="D1" s="24" t="inlineStr">
        <is>
          <t xml:space="preserve"> OCT</t>
        </is>
      </c>
      <c r="E1" s="24" t="inlineStr">
        <is>
          <t>NOV</t>
        </is>
      </c>
      <c r="F1" s="24" t="inlineStr">
        <is>
          <t>DEC</t>
        </is>
      </c>
      <c r="G1" s="24" t="inlineStr">
        <is>
          <t>JANV</t>
        </is>
      </c>
      <c r="H1" s="24" t="inlineStr">
        <is>
          <t xml:space="preserve"> FEV</t>
        </is>
      </c>
      <c r="I1" s="24" t="inlineStr">
        <is>
          <t>MARS</t>
        </is>
      </c>
      <c r="J1" s="24" t="inlineStr">
        <is>
          <t xml:space="preserve"> AVRIL</t>
        </is>
      </c>
      <c r="K1" s="24" t="inlineStr">
        <is>
          <t xml:space="preserve"> MAI</t>
        </is>
      </c>
      <c r="L1" s="24" t="inlineStr">
        <is>
          <t xml:space="preserve"> JUIN</t>
        </is>
      </c>
      <c r="M1" s="24" t="inlineStr">
        <is>
          <t>JUIL</t>
        </is>
      </c>
      <c r="N1" s="24" t="inlineStr">
        <is>
          <t>TOTAL</t>
        </is>
      </c>
      <c r="O1" s="24" t="n"/>
      <c r="P1" s="24" t="n"/>
      <c r="R1" s="24" t="inlineStr">
        <is>
          <t>PRETS</t>
        </is>
      </c>
      <c r="S1" s="24" t="inlineStr">
        <is>
          <t>INTER</t>
        </is>
      </c>
      <c r="T1" s="24" t="inlineStr">
        <is>
          <t>REMB</t>
        </is>
      </c>
      <c r="U1" s="24" t="inlineStr">
        <is>
          <t>RESTE</t>
        </is>
      </c>
    </row>
    <row r="2">
      <c r="A2" s="15" t="inlineStr">
        <is>
          <t>ABENG ZE Jean Claude</t>
        </is>
      </c>
      <c r="B2" s="25" t="n"/>
      <c r="C2" s="26" t="n"/>
      <c r="D2" s="26" t="n"/>
      <c r="E2" s="25" t="n"/>
      <c r="F2" s="25" t="n"/>
      <c r="G2" s="26" t="n"/>
      <c r="H2" s="26" t="n"/>
      <c r="I2" s="26" t="n"/>
      <c r="J2" s="26" t="n"/>
      <c r="K2" s="26" t="n"/>
      <c r="L2" s="26" t="n"/>
      <c r="M2" s="25" t="n"/>
      <c r="N2" s="27">
        <f>+SUM(B2:M2)</f>
        <v/>
      </c>
      <c r="O2" s="33" t="n"/>
      <c r="P2" s="33" t="n"/>
    </row>
    <row r="3">
      <c r="A3" s="5" t="inlineStr">
        <is>
          <t>BANGA NNA Israel</t>
        </is>
      </c>
      <c r="B3" s="25" t="n"/>
      <c r="C3" s="26" t="n"/>
      <c r="D3" s="26" t="n"/>
      <c r="E3" s="25" t="n"/>
      <c r="F3" s="25" t="n"/>
      <c r="G3" s="26" t="n"/>
      <c r="H3" s="26" t="n"/>
      <c r="I3" s="26" t="n"/>
      <c r="J3" s="26" t="n"/>
      <c r="K3" s="26" t="n"/>
      <c r="L3" s="26" t="n"/>
      <c r="M3" s="25" t="n"/>
      <c r="N3" s="27">
        <f>+SUM(B3:M3)</f>
        <v/>
      </c>
      <c r="O3" s="33" t="n"/>
      <c r="P3" s="33" t="n"/>
    </row>
    <row r="4">
      <c r="A4" s="15" t="inlineStr">
        <is>
          <t>BISSAI BI NOMBO Fabrice</t>
        </is>
      </c>
      <c r="B4" s="25" t="n"/>
      <c r="C4" s="26" t="n"/>
      <c r="D4" s="26" t="n"/>
      <c r="E4" s="25" t="n"/>
      <c r="F4" s="25" t="n"/>
      <c r="G4" s="26" t="n"/>
      <c r="H4" s="26" t="n"/>
      <c r="I4" s="26" t="n"/>
      <c r="J4" s="26" t="n"/>
      <c r="K4" s="26" t="n"/>
      <c r="L4" s="26" t="n"/>
      <c r="M4" s="25" t="n"/>
      <c r="N4" s="27">
        <f>+SUM(B4:M4)</f>
        <v/>
      </c>
      <c r="O4" s="33" t="n"/>
      <c r="P4" s="33" t="n"/>
    </row>
    <row r="5">
      <c r="A5" s="5" t="inlineStr">
        <is>
          <t>BOMBA FOUDA Mathieu</t>
        </is>
      </c>
      <c r="B5" s="25" t="n"/>
      <c r="C5" s="26" t="n"/>
      <c r="D5" s="26" t="n"/>
      <c r="E5" s="25" t="n"/>
      <c r="F5" s="25" t="n"/>
      <c r="G5" s="26" t="n"/>
      <c r="H5" s="26" t="n"/>
      <c r="I5" s="26" t="n"/>
      <c r="J5" s="26" t="n"/>
      <c r="K5" s="26" t="n"/>
      <c r="L5" s="26" t="n"/>
      <c r="M5" s="25" t="n"/>
      <c r="N5" s="27">
        <f>+SUM(B5:M5)</f>
        <v/>
      </c>
      <c r="O5" s="33" t="n"/>
      <c r="P5" s="33" t="n"/>
    </row>
    <row r="6">
      <c r="A6" s="15" t="inlineStr">
        <is>
          <t>EBOGO BIKOULA Gilbert</t>
        </is>
      </c>
      <c r="B6" s="25" t="n"/>
      <c r="C6" s="26" t="n"/>
      <c r="D6" s="26" t="n"/>
      <c r="E6" s="25" t="n"/>
      <c r="F6" s="25" t="n"/>
      <c r="G6" s="26" t="n"/>
      <c r="H6" s="26" t="n"/>
      <c r="I6" s="26" t="n"/>
      <c r="J6" s="26" t="n"/>
      <c r="K6" s="26" t="n"/>
      <c r="L6" s="26" t="n"/>
      <c r="M6" s="25" t="n"/>
      <c r="N6" s="27">
        <f>+SUM(B6:M6)</f>
        <v/>
      </c>
      <c r="O6" s="35" t="n"/>
      <c r="P6" s="35" t="n"/>
    </row>
    <row r="7">
      <c r="A7" s="5" t="inlineStr">
        <is>
          <t>ESSALA Etienne</t>
        </is>
      </c>
      <c r="B7" s="25" t="n"/>
      <c r="C7" s="26" t="n"/>
      <c r="D7" s="26" t="n"/>
      <c r="E7" s="25" t="n"/>
      <c r="F7" s="25" t="n"/>
      <c r="G7" s="26" t="n"/>
      <c r="H7" s="26" t="n"/>
      <c r="I7" s="26" t="n"/>
      <c r="J7" s="26" t="n"/>
      <c r="K7" s="26" t="n"/>
      <c r="L7" s="26" t="n"/>
      <c r="M7" s="25" t="n"/>
      <c r="N7" s="27">
        <f>+SUM(B7:M7)</f>
        <v/>
      </c>
      <c r="O7" s="33" t="n"/>
      <c r="P7" s="33" t="n"/>
    </row>
    <row r="8">
      <c r="A8" s="15" t="inlineStr">
        <is>
          <t>ETOA Yves</t>
        </is>
      </c>
      <c r="B8" s="25" t="n"/>
      <c r="C8" s="26" t="n"/>
      <c r="D8" s="26" t="n"/>
      <c r="E8" s="25" t="n"/>
      <c r="F8" s="25" t="n"/>
      <c r="G8" s="26" t="n"/>
      <c r="H8" s="26" t="n"/>
      <c r="I8" s="26" t="n"/>
      <c r="J8" s="26" t="n"/>
      <c r="K8" s="26" t="n"/>
      <c r="L8" s="26" t="n"/>
      <c r="M8" s="25" t="n"/>
      <c r="N8" s="27">
        <f>+SUM(B8:M8)</f>
        <v/>
      </c>
      <c r="O8" s="33" t="n"/>
      <c r="P8" s="33" t="n"/>
    </row>
    <row r="9">
      <c r="A9" s="5" t="inlineStr">
        <is>
          <t>EWALA Jacques Philippe</t>
        </is>
      </c>
      <c r="B9" s="25" t="n"/>
      <c r="C9" s="26" t="n"/>
      <c r="D9" s="26" t="n"/>
      <c r="E9" s="25" t="n"/>
      <c r="F9" s="25" t="n"/>
      <c r="G9" s="26" t="n"/>
      <c r="H9" s="26" t="n"/>
      <c r="I9" s="26" t="n"/>
      <c r="J9" s="26" t="n"/>
      <c r="K9" s="26" t="n"/>
      <c r="L9" s="26" t="n"/>
      <c r="M9" s="25" t="n"/>
      <c r="N9" s="27">
        <f>+SUM(B9:M9)</f>
        <v/>
      </c>
      <c r="O9" s="33" t="n"/>
      <c r="P9" s="33" t="n"/>
    </row>
    <row r="10">
      <c r="A10" s="15" t="inlineStr">
        <is>
          <t>FOTUE KAMGUE Kevin</t>
        </is>
      </c>
      <c r="B10" s="25" t="n"/>
      <c r="C10" s="26" t="n"/>
      <c r="D10" s="26" t="n"/>
      <c r="E10" s="25" t="n"/>
      <c r="F10" s="25" t="n"/>
      <c r="G10" s="26" t="n"/>
      <c r="H10" s="26" t="n"/>
      <c r="I10" s="26" t="n"/>
      <c r="J10" s="26" t="n"/>
      <c r="K10" s="26" t="n"/>
      <c r="L10" s="26" t="n"/>
      <c r="M10" s="25" t="n"/>
      <c r="N10" s="27">
        <f>+SUM(B10:M10)</f>
        <v/>
      </c>
      <c r="O10" s="33" t="n"/>
      <c r="P10" s="33" t="n"/>
    </row>
    <row r="11">
      <c r="A11" s="5" t="inlineStr">
        <is>
          <t>IPOULE Michel Landry</t>
        </is>
      </c>
      <c r="B11" s="25" t="n"/>
      <c r="C11" s="26" t="n"/>
      <c r="D11" s="25" t="n"/>
      <c r="E11" s="25" t="n"/>
      <c r="F11" s="25" t="n"/>
      <c r="G11" s="26" t="n"/>
      <c r="H11" s="26" t="n"/>
      <c r="I11" s="26" t="n"/>
      <c r="J11" s="26" t="n"/>
      <c r="K11" s="26" t="n"/>
      <c r="L11" s="26" t="n"/>
      <c r="M11" s="25" t="n"/>
      <c r="N11" s="27">
        <f>+SUM(B11:M11)</f>
        <v/>
      </c>
      <c r="O11" s="35" t="n"/>
      <c r="P11" s="35" t="n"/>
    </row>
    <row r="12">
      <c r="A12" s="15" t="inlineStr">
        <is>
          <t>ITOP Samuel</t>
        </is>
      </c>
      <c r="B12" s="25" t="n"/>
      <c r="C12" s="26" t="n"/>
      <c r="D12" s="25" t="n"/>
      <c r="E12" s="25" t="n"/>
      <c r="F12" s="25" t="n"/>
      <c r="G12" s="25" t="n"/>
      <c r="H12" s="26" t="n"/>
      <c r="I12" s="26" t="n"/>
      <c r="J12" s="26" t="n"/>
      <c r="K12" s="26" t="n"/>
      <c r="L12" s="26" t="n"/>
      <c r="M12" s="25" t="n"/>
      <c r="N12" s="27">
        <f>+SUM(B12:M12)</f>
        <v/>
      </c>
      <c r="O12" s="33" t="n"/>
      <c r="P12" s="33" t="n"/>
    </row>
    <row r="13">
      <c r="A13" s="5" t="inlineStr">
        <is>
          <t>LIKENG BALABA</t>
        </is>
      </c>
      <c r="B13" s="25" t="n"/>
      <c r="C13" s="26" t="n"/>
      <c r="D13" s="26" t="n"/>
      <c r="E13" s="25" t="n"/>
      <c r="F13" s="25" t="n"/>
      <c r="G13" s="25" t="n"/>
      <c r="H13" s="26" t="n"/>
      <c r="I13" s="26" t="n"/>
      <c r="J13" s="26" t="n"/>
      <c r="K13" s="26" t="n"/>
      <c r="L13" s="26" t="n"/>
      <c r="M13" s="25" t="n"/>
      <c r="N13" s="27">
        <f>+SUM(B13:M13)</f>
        <v/>
      </c>
      <c r="O13" s="35" t="n"/>
      <c r="P13" s="35" t="n"/>
    </row>
    <row r="14">
      <c r="A14" s="15" t="inlineStr">
        <is>
          <t>MAMA Paul Yannick</t>
        </is>
      </c>
      <c r="B14" s="25" t="n"/>
      <c r="C14" s="26" t="n"/>
      <c r="D14" s="25" t="n"/>
      <c r="E14" s="25" t="n"/>
      <c r="F14" s="25" t="n"/>
      <c r="G14" s="25" t="n"/>
      <c r="H14" s="26" t="n"/>
      <c r="I14" s="26" t="n"/>
      <c r="J14" s="26" t="n"/>
      <c r="K14" s="26" t="n"/>
      <c r="L14" s="25" t="n"/>
      <c r="M14" s="25" t="n"/>
      <c r="N14" s="27">
        <f>+SUM(B14:M14)</f>
        <v/>
      </c>
      <c r="O14" s="33" t="n"/>
      <c r="P14" s="33" t="n"/>
    </row>
    <row r="15">
      <c r="A15" s="5" t="inlineStr">
        <is>
          <t>MANI EKOUDI François M.</t>
        </is>
      </c>
      <c r="B15" s="25" t="n"/>
      <c r="C15" s="26" t="n"/>
      <c r="D15" s="26" t="n"/>
      <c r="E15" s="25" t="n"/>
      <c r="F15" s="25" t="n"/>
      <c r="G15" s="25" t="n"/>
      <c r="H15" s="26" t="n"/>
      <c r="I15" s="26" t="n"/>
      <c r="J15" s="26" t="n"/>
      <c r="K15" s="26" t="n"/>
      <c r="L15" s="25" t="n"/>
      <c r="M15" s="25" t="n"/>
      <c r="N15" s="27">
        <f>+SUM(B15:M15)</f>
        <v/>
      </c>
      <c r="O15" s="35" t="n"/>
      <c r="P15" s="35" t="n"/>
    </row>
    <row r="16">
      <c r="A16" s="15" t="inlineStr">
        <is>
          <t>MBA ENYOUGOU Bernard</t>
        </is>
      </c>
      <c r="B16" s="25" t="n"/>
      <c r="C16" s="26" t="n"/>
      <c r="D16" s="25" t="n"/>
      <c r="E16" s="25" t="n"/>
      <c r="F16" s="25" t="n"/>
      <c r="G16" s="25" t="n"/>
      <c r="H16" s="26" t="n"/>
      <c r="I16" s="26" t="n"/>
      <c r="J16" s="26" t="n"/>
      <c r="K16" s="26" t="n"/>
      <c r="L16" s="25" t="n"/>
      <c r="M16" s="25" t="n"/>
      <c r="N16" s="27">
        <f>+SUM(B16:M16)</f>
        <v/>
      </c>
      <c r="O16" s="33" t="n"/>
      <c r="P16" s="33" t="n"/>
    </row>
    <row r="17">
      <c r="A17" s="5" t="inlineStr">
        <is>
          <t>MBADI Homer Paul</t>
        </is>
      </c>
      <c r="B17" s="25" t="n"/>
      <c r="C17" s="26" t="n"/>
      <c r="D17" s="25" t="n"/>
      <c r="E17" s="25" t="n"/>
      <c r="F17" s="25" t="n"/>
      <c r="G17" s="25" t="n"/>
      <c r="H17" s="26" t="n"/>
      <c r="I17" s="26" t="n"/>
      <c r="J17" s="26" t="n"/>
      <c r="K17" s="26" t="n"/>
      <c r="L17" s="25" t="n"/>
      <c r="M17" s="25" t="n"/>
      <c r="N17" s="27">
        <f>+SUM(B17:M17)</f>
        <v/>
      </c>
      <c r="O17" s="33" t="n"/>
      <c r="P17" s="33" t="n"/>
    </row>
    <row r="18">
      <c r="A18" s="15" t="inlineStr">
        <is>
          <t>MBAMBA NSOA Jean Paul</t>
        </is>
      </c>
      <c r="B18" s="25" t="n"/>
      <c r="C18" s="26" t="n"/>
      <c r="D18" s="26" t="n"/>
      <c r="E18" s="25" t="n"/>
      <c r="F18" s="25" t="n"/>
      <c r="G18" s="25" t="n"/>
      <c r="H18" s="26" t="n"/>
      <c r="I18" s="26" t="n"/>
      <c r="J18" s="26" t="n"/>
      <c r="K18" s="26" t="n"/>
      <c r="L18" s="25" t="n"/>
      <c r="M18" s="25" t="n"/>
      <c r="N18" s="27">
        <f>+SUM(B18:M18)</f>
        <v/>
      </c>
      <c r="O18" s="33" t="n"/>
      <c r="P18" s="33" t="n"/>
    </row>
    <row r="19">
      <c r="A19" s="5" t="inlineStr">
        <is>
          <t>MENGUE François Xavier</t>
        </is>
      </c>
      <c r="B19" s="25" t="n"/>
      <c r="C19" s="26" t="n"/>
      <c r="D19" s="25" t="n"/>
      <c r="E19" s="25" t="n"/>
      <c r="F19" s="25" t="n"/>
      <c r="G19" s="25" t="n"/>
      <c r="H19" s="26" t="n"/>
      <c r="I19" s="26" t="n"/>
      <c r="J19" s="26" t="n"/>
      <c r="K19" s="26" t="n"/>
      <c r="L19" s="25" t="n"/>
      <c r="M19" s="25" t="n"/>
      <c r="N19" s="27">
        <f>+SUM(B19:M19)</f>
        <v/>
      </c>
      <c r="O19" s="33" t="n"/>
      <c r="P19" s="33" t="n"/>
    </row>
    <row r="20">
      <c r="A20" s="15" t="inlineStr">
        <is>
          <t>MIONG RIGOBERT Dieudonné</t>
        </is>
      </c>
      <c r="B20" s="25" t="n"/>
      <c r="C20" s="26" t="n"/>
      <c r="D20" s="25" t="n"/>
      <c r="E20" s="25" t="n"/>
      <c r="F20" s="25" t="n"/>
      <c r="G20" s="25" t="n"/>
      <c r="H20" s="26" t="n"/>
      <c r="I20" s="26" t="n"/>
      <c r="J20" s="26" t="n"/>
      <c r="K20" s="26" t="n"/>
      <c r="L20" s="25" t="n"/>
      <c r="M20" s="25" t="n"/>
      <c r="N20" s="27">
        <f>+SUM(B20:M20)</f>
        <v/>
      </c>
      <c r="O20" s="35" t="n"/>
      <c r="P20" s="35" t="n"/>
    </row>
    <row r="21">
      <c r="A21" s="5" t="inlineStr">
        <is>
          <t>NDJOCK Thaddée Rodrigue</t>
        </is>
      </c>
      <c r="B21" s="25" t="n"/>
      <c r="C21" s="26" t="n"/>
      <c r="D21" s="26" t="n"/>
      <c r="E21" s="25" t="n"/>
      <c r="F21" s="25" t="n"/>
      <c r="G21" s="25" t="n"/>
      <c r="H21" s="26" t="n"/>
      <c r="I21" s="26" t="n"/>
      <c r="J21" s="26" t="n"/>
      <c r="K21" s="26" t="n"/>
      <c r="L21" s="25" t="n"/>
      <c r="M21" s="25" t="n"/>
      <c r="N21" s="27">
        <f>+SUM(B21:M21)</f>
        <v/>
      </c>
      <c r="O21" s="33" t="n"/>
      <c r="P21" s="33" t="n"/>
    </row>
    <row r="22">
      <c r="A22" s="15" t="inlineStr">
        <is>
          <t>NKOLO NGAH Emmanuel</t>
        </is>
      </c>
      <c r="B22" s="25" t="n"/>
      <c r="C22" s="26" t="n"/>
      <c r="D22" s="25" t="n"/>
      <c r="E22" s="25" t="n"/>
      <c r="F22" s="25" t="n"/>
      <c r="G22" s="25" t="n"/>
      <c r="H22" s="26" t="n"/>
      <c r="I22" s="26" t="n"/>
      <c r="J22" s="26" t="n"/>
      <c r="K22" s="26" t="n"/>
      <c r="L22" s="25" t="n"/>
      <c r="M22" s="25" t="n"/>
      <c r="N22" s="27">
        <f>+SUM(B22:M22)</f>
        <v/>
      </c>
      <c r="O22" s="33" t="n"/>
      <c r="P22" s="33" t="n"/>
    </row>
    <row r="23">
      <c r="A23" s="5" t="inlineStr">
        <is>
          <t>NOAH Patrick Michel Brice</t>
        </is>
      </c>
      <c r="B23" s="25" t="n"/>
      <c r="C23" s="26" t="n"/>
      <c r="D23" s="25" t="n"/>
      <c r="E23" s="25" t="n"/>
      <c r="F23" s="25" t="n"/>
      <c r="G23" s="25" t="n"/>
      <c r="H23" s="26" t="n"/>
      <c r="I23" s="26" t="n"/>
      <c r="J23" s="26" t="n"/>
      <c r="K23" s="26" t="n"/>
      <c r="L23" s="25" t="n"/>
      <c r="M23" s="25" t="n"/>
      <c r="N23" s="27">
        <f>+SUM(B23:M23)</f>
        <v/>
      </c>
      <c r="O23" s="33" t="n"/>
      <c r="P23" s="33" t="n"/>
    </row>
    <row r="24">
      <c r="A24" s="15" t="inlineStr">
        <is>
          <t>NONBO Marc</t>
        </is>
      </c>
      <c r="B24" s="25" t="n"/>
      <c r="C24" s="26" t="n"/>
      <c r="D24" s="26" t="n"/>
      <c r="E24" s="25" t="n"/>
      <c r="F24" s="25" t="n"/>
      <c r="G24" s="26" t="n"/>
      <c r="H24" s="26" t="n"/>
      <c r="I24" s="26" t="n"/>
      <c r="J24" s="26" t="n"/>
      <c r="K24" s="26" t="n"/>
      <c r="L24" s="25" t="n"/>
      <c r="M24" s="25" t="n"/>
      <c r="N24" s="27">
        <f>+SUM(B24:M24)</f>
        <v/>
      </c>
      <c r="O24" s="35" t="n"/>
      <c r="P24" s="35" t="n"/>
    </row>
    <row r="25">
      <c r="A25" s="5" t="inlineStr">
        <is>
          <t>NSOA MBONDO Pierre</t>
        </is>
      </c>
      <c r="B25" s="25" t="n"/>
      <c r="C25" s="26" t="n"/>
      <c r="D25" s="25" t="n"/>
      <c r="E25" s="25" t="n"/>
      <c r="F25" s="25" t="n"/>
      <c r="G25" s="26" t="n"/>
      <c r="H25" s="26" t="n"/>
      <c r="I25" s="26" t="n"/>
      <c r="J25" s="26" t="n"/>
      <c r="K25" s="26" t="n"/>
      <c r="L25" s="25" t="n"/>
      <c r="M25" s="25" t="n"/>
      <c r="N25" s="27">
        <f>+SUM(B25:M25)</f>
        <v/>
      </c>
      <c r="O25" s="33" t="n"/>
      <c r="P25" s="33" t="n"/>
    </row>
    <row r="26">
      <c r="A26" s="15" t="inlineStr">
        <is>
          <t>NSOE NKOULI Jean-Baptiste</t>
        </is>
      </c>
      <c r="B26" s="25" t="n"/>
      <c r="C26" s="26" t="n"/>
      <c r="D26" s="25" t="n"/>
      <c r="E26" s="25" t="n"/>
      <c r="F26" s="25" t="n"/>
      <c r="G26" s="26" t="n"/>
      <c r="H26" s="26" t="n"/>
      <c r="I26" s="26" t="n"/>
      <c r="J26" s="26" t="n"/>
      <c r="K26" s="26" t="n"/>
      <c r="L26" s="25" t="n"/>
      <c r="M26" s="25" t="n"/>
      <c r="N26" s="27">
        <f>+SUM(B26:M26)</f>
        <v/>
      </c>
      <c r="O26" s="35" t="n"/>
      <c r="P26" s="35" t="n"/>
    </row>
    <row r="27">
      <c r="A27" s="5" t="inlineStr">
        <is>
          <t>NYECK PONDI Etienne</t>
        </is>
      </c>
      <c r="B27" s="25" t="n"/>
      <c r="C27" s="26" t="n"/>
      <c r="D27" s="26" t="n"/>
      <c r="E27" s="25" t="n"/>
      <c r="F27" s="25" t="n"/>
      <c r="G27" s="26" t="n"/>
      <c r="H27" s="26" t="n"/>
      <c r="I27" s="26" t="n"/>
      <c r="J27" s="26" t="n"/>
      <c r="K27" s="26" t="n"/>
      <c r="L27" s="26" t="n"/>
      <c r="M27" s="26" t="n"/>
      <c r="N27" s="27">
        <f>+SUM(B27:M27)</f>
        <v/>
      </c>
      <c r="O27" s="33" t="n"/>
      <c r="P27" s="33" t="n"/>
    </row>
    <row r="28">
      <c r="A28" s="15" t="inlineStr">
        <is>
          <t>OMGBA FOUDA Simon Pierre</t>
        </is>
      </c>
      <c r="B28" s="25" t="n"/>
      <c r="C28" s="26" t="n"/>
      <c r="D28" s="26" t="n"/>
      <c r="E28" s="25" t="n"/>
      <c r="F28" s="25" t="n"/>
      <c r="G28" s="26" t="n"/>
      <c r="H28" s="26" t="n"/>
      <c r="I28" s="26" t="n"/>
      <c r="J28" s="26" t="n"/>
      <c r="K28" s="26" t="n"/>
      <c r="L28" s="26" t="n"/>
      <c r="M28" s="25" t="n"/>
      <c r="N28" s="27">
        <f>+SUM(B28:M28)</f>
        <v/>
      </c>
      <c r="O28" s="35" t="n"/>
      <c r="P28" s="35" t="n"/>
      <c r="Q28" s="35" t="n"/>
      <c r="R28" s="35" t="n"/>
    </row>
    <row r="29">
      <c r="A29" s="5" t="inlineStr">
        <is>
          <t>OMGBA MIMBOE Gaetan</t>
        </is>
      </c>
      <c r="B29" s="25" t="n"/>
      <c r="C29" s="26" t="n"/>
      <c r="D29" s="25" t="n"/>
      <c r="E29" s="25" t="n"/>
      <c r="F29" s="25" t="n"/>
      <c r="G29" s="26" t="n"/>
      <c r="H29" s="26" t="n"/>
      <c r="I29" s="26" t="n"/>
      <c r="J29" s="26" t="n"/>
      <c r="K29" s="26" t="n"/>
      <c r="L29" s="26" t="n"/>
      <c r="M29" s="25" t="n"/>
      <c r="N29" s="27">
        <f>+SUM(B29:M29)</f>
        <v/>
      </c>
      <c r="O29" s="35" t="n"/>
      <c r="P29" s="35" t="n"/>
      <c r="Q29" s="35" t="n"/>
      <c r="R29" s="35" t="n"/>
    </row>
    <row r="30">
      <c r="A30" s="15" t="inlineStr">
        <is>
          <t>ONANA NKADA Laurent S.</t>
        </is>
      </c>
      <c r="B30" s="25" t="n"/>
      <c r="C30" s="26" t="n"/>
      <c r="D30" s="25" t="n"/>
      <c r="E30" s="25" t="n"/>
      <c r="F30" s="25" t="n"/>
      <c r="G30" s="26" t="n"/>
      <c r="H30" s="26" t="n"/>
      <c r="I30" s="26" t="n"/>
      <c r="J30" s="26" t="n"/>
      <c r="K30" s="26" t="n"/>
      <c r="L30" s="26" t="n"/>
      <c r="M30" s="25" t="n"/>
      <c r="N30" s="27">
        <f>+SUM(B30:M30)</f>
        <v/>
      </c>
      <c r="O30" s="35" t="n"/>
      <c r="P30" s="35" t="n"/>
      <c r="Q30" s="35" t="n"/>
      <c r="R30" s="35" t="n"/>
    </row>
    <row r="31">
      <c r="A31" s="5" t="inlineStr">
        <is>
          <t>ONDOA Jean</t>
        </is>
      </c>
      <c r="B31" s="25" t="n"/>
      <c r="C31" s="26" t="n"/>
      <c r="D31" s="25" t="n"/>
      <c r="E31" s="25" t="n"/>
      <c r="F31" s="25" t="n"/>
      <c r="G31" s="26" t="n"/>
      <c r="H31" s="26" t="n"/>
      <c r="I31" s="26" t="n"/>
      <c r="J31" s="26" t="n"/>
      <c r="K31" s="26" t="n"/>
      <c r="L31" s="26" t="n"/>
      <c r="M31" s="25" t="n"/>
      <c r="N31" s="27">
        <f>+SUM(B31:M31)</f>
        <v/>
      </c>
      <c r="O31" s="35" t="n"/>
      <c r="P31" s="35" t="n"/>
      <c r="Q31" s="35" t="n"/>
      <c r="R31" s="35" t="n"/>
    </row>
    <row r="32">
      <c r="A32" s="15" t="inlineStr">
        <is>
          <t>TSANGA TSANGA Christol</t>
        </is>
      </c>
      <c r="B32" s="25" t="n"/>
      <c r="C32" s="26" t="n"/>
      <c r="D32" s="26" t="n"/>
      <c r="E32" s="25" t="n"/>
      <c r="F32" s="25" t="n"/>
      <c r="G32" s="26" t="n"/>
      <c r="H32" s="26" t="n"/>
      <c r="I32" s="26" t="n"/>
      <c r="J32" s="26" t="n"/>
      <c r="K32" s="26" t="n"/>
      <c r="L32" s="26" t="n"/>
      <c r="M32" s="25" t="n"/>
      <c r="N32" s="27">
        <f>+SUM(B32:M32)</f>
        <v/>
      </c>
      <c r="O32" s="35" t="n"/>
      <c r="P32" s="35" t="n"/>
      <c r="Q32" s="35" t="n"/>
      <c r="R32" s="35" t="n"/>
    </row>
    <row r="33">
      <c r="A33" s="5" t="inlineStr">
        <is>
          <t>ZE ANDJE Eric</t>
        </is>
      </c>
      <c r="B33" s="25" t="n"/>
      <c r="C33" s="26" t="n"/>
      <c r="D33" s="25" t="n"/>
      <c r="E33" s="25" t="n"/>
      <c r="F33" s="25" t="n"/>
      <c r="G33" s="26" t="n"/>
      <c r="H33" s="26" t="n"/>
      <c r="I33" s="26" t="n"/>
      <c r="J33" s="26" t="n"/>
      <c r="K33" s="26" t="n"/>
      <c r="L33" s="26" t="n"/>
      <c r="M33" s="25" t="n"/>
      <c r="N33" s="27">
        <f>+SUM(B33:M33)</f>
        <v/>
      </c>
      <c r="O33" s="35" t="n"/>
      <c r="P33" s="35" t="n"/>
      <c r="Q33" s="35" t="n"/>
      <c r="R33" s="35" t="n"/>
    </row>
    <row r="34">
      <c r="A34" s="16" t="inlineStr">
        <is>
          <t>TOTAL</t>
        </is>
      </c>
      <c r="B34" s="27">
        <f>+SUM(B2:B33)</f>
        <v/>
      </c>
      <c r="C34" s="27">
        <f>+SUM(C2:C33)</f>
        <v/>
      </c>
      <c r="D34" s="27">
        <f>+SUM(D2:D33)</f>
        <v/>
      </c>
      <c r="E34" s="27">
        <f>+SUM(E2:E33)</f>
        <v/>
      </c>
      <c r="F34" s="27">
        <f>+SUM(F2:F33)</f>
        <v/>
      </c>
      <c r="G34" s="27">
        <f>+SUM(G2:G33)</f>
        <v/>
      </c>
      <c r="H34" s="27">
        <f>+SUM(H2:H33)</f>
        <v/>
      </c>
      <c r="I34" s="27">
        <f>+SUM(I2:I33)</f>
        <v/>
      </c>
      <c r="J34" s="27">
        <f>+SUM(J2:J33)</f>
        <v/>
      </c>
      <c r="K34" s="27">
        <f>+SUM(K2:K33)</f>
        <v/>
      </c>
      <c r="L34" s="27">
        <f>+SUM(L2:L33)</f>
        <v/>
      </c>
      <c r="M34" s="27">
        <f>+SUM(M2:M33)</f>
        <v/>
      </c>
      <c r="N34" s="27">
        <f>+SUM(B34:M34)</f>
        <v/>
      </c>
      <c r="O34" s="35" t="n"/>
      <c r="P34" s="35" t="n"/>
      <c r="Q34" s="35">
        <f>SUM(Q2:Q33)</f>
        <v/>
      </c>
      <c r="R34" s="35" t="n"/>
    </row>
    <row r="35">
      <c r="O35" s="35" t="n"/>
      <c r="P35" s="35" t="n"/>
      <c r="Q35" s="35" t="n"/>
      <c r="R35" s="35" t="n"/>
    </row>
    <row r="36">
      <c r="A36" s="5" t="inlineStr">
        <is>
          <t>interets</t>
        </is>
      </c>
      <c r="B36" s="33">
        <f>B34*0.04</f>
        <v/>
      </c>
      <c r="C36" s="33">
        <f>C34*0.04</f>
        <v/>
      </c>
      <c r="D36" s="33">
        <f>D34*0.04</f>
        <v/>
      </c>
      <c r="E36" s="33">
        <f>E34*0.04</f>
        <v/>
      </c>
      <c r="F36" s="33">
        <f>F34*0.04</f>
        <v/>
      </c>
      <c r="G36" s="33">
        <f>G34*0.04</f>
        <v/>
      </c>
      <c r="H36" s="33">
        <f>H34*0.04</f>
        <v/>
      </c>
      <c r="I36" s="33">
        <f>I34*0.04</f>
        <v/>
      </c>
      <c r="J36" s="33">
        <f>J34*0.04</f>
        <v/>
      </c>
      <c r="K36" s="33">
        <f>K34*0.04</f>
        <v/>
      </c>
      <c r="L36" s="33">
        <f>L34*0.04</f>
        <v/>
      </c>
      <c r="M36" s="33">
        <f>M34*0.04</f>
        <v/>
      </c>
      <c r="N36" s="33" t="n"/>
      <c r="O36" s="35" t="n"/>
      <c r="P36" s="35" t="n"/>
      <c r="Q36" s="35" t="n"/>
      <c r="R36" s="35" t="n"/>
    </row>
    <row r="39">
      <c r="F39" s="33">
        <f>D7*(4/100)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24" sqref="L24"/>
    </sheetView>
  </sheetViews>
  <sheetFormatPr baseColWidth="10" defaultRowHeight="15"/>
  <cols>
    <col width="24.140625" customWidth="1" min="1" max="1"/>
    <col width="11.5703125" customWidth="1" min="2" max="3"/>
    <col width="11.5703125" bestFit="1" customWidth="1" min="4" max="13"/>
    <col width="12.85546875" bestFit="1" customWidth="1" min="14" max="14"/>
  </cols>
  <sheetData>
    <row r="1">
      <c r="A1" t="inlineStr">
        <is>
          <t>Noms et prénoms</t>
        </is>
      </c>
      <c r="B1" s="24" t="inlineStr">
        <is>
          <t>AOUT</t>
        </is>
      </c>
      <c r="C1" s="24" t="inlineStr">
        <is>
          <t xml:space="preserve"> SEPT</t>
        </is>
      </c>
      <c r="D1" s="24" t="inlineStr">
        <is>
          <t xml:space="preserve"> OCT</t>
        </is>
      </c>
      <c r="E1" s="24" t="inlineStr">
        <is>
          <t>NOV</t>
        </is>
      </c>
      <c r="F1" s="24" t="inlineStr">
        <is>
          <t>DEC</t>
        </is>
      </c>
      <c r="G1" s="24" t="inlineStr">
        <is>
          <t>JANV</t>
        </is>
      </c>
      <c r="H1" s="24" t="inlineStr">
        <is>
          <t xml:space="preserve"> FEV</t>
        </is>
      </c>
      <c r="I1" s="24" t="inlineStr">
        <is>
          <t>MARS</t>
        </is>
      </c>
      <c r="J1" s="24" t="inlineStr">
        <is>
          <t xml:space="preserve"> AVRIL</t>
        </is>
      </c>
      <c r="K1" s="24" t="inlineStr">
        <is>
          <t xml:space="preserve"> MAI</t>
        </is>
      </c>
      <c r="L1" s="24" t="inlineStr">
        <is>
          <t xml:space="preserve"> JUIN</t>
        </is>
      </c>
      <c r="M1" s="24" t="inlineStr">
        <is>
          <t>JUIL</t>
        </is>
      </c>
      <c r="N1" s="24" t="inlineStr">
        <is>
          <t>TOTAL REM</t>
        </is>
      </c>
    </row>
    <row r="2">
      <c r="A2" s="15" t="inlineStr">
        <is>
          <t>ABENG ZE Jean Claude</t>
        </is>
      </c>
      <c r="B2" s="31" t="n"/>
      <c r="C2" s="32" t="n"/>
      <c r="D2" s="32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27">
        <f>+SUM(B2:M2)</f>
        <v/>
      </c>
    </row>
    <row r="3">
      <c r="A3" s="5" t="inlineStr">
        <is>
          <t>BANGA NNA Israel</t>
        </is>
      </c>
      <c r="B3" s="31" t="n"/>
      <c r="C3" s="32" t="n"/>
      <c r="D3" s="32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27">
        <f>+SUM(B3:M3)</f>
        <v/>
      </c>
    </row>
    <row r="4">
      <c r="A4" s="15" t="inlineStr">
        <is>
          <t>BISSAI BI NOMBO Fabrice</t>
        </is>
      </c>
      <c r="B4" s="31" t="n"/>
      <c r="C4" s="32" t="n"/>
      <c r="D4" s="32" t="n"/>
      <c r="E4" s="31" t="n"/>
      <c r="F4" s="31" t="n"/>
      <c r="G4" s="32" t="n"/>
      <c r="H4" s="32" t="n"/>
      <c r="I4" s="32" t="n"/>
      <c r="J4" s="32" t="n"/>
      <c r="K4" s="32" t="n"/>
      <c r="L4" s="32" t="n"/>
      <c r="M4" s="32" t="n"/>
      <c r="N4" s="27">
        <f>+SUM(B4:M4)</f>
        <v/>
      </c>
    </row>
    <row r="5">
      <c r="A5" s="5" t="inlineStr">
        <is>
          <t>BOMBA FOUDA Mathieu</t>
        </is>
      </c>
      <c r="B5" s="31" t="n"/>
      <c r="C5" s="32" t="n"/>
      <c r="D5" s="32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27">
        <f>+SUM(B5:M5)</f>
        <v/>
      </c>
    </row>
    <row r="6">
      <c r="A6" s="15" t="inlineStr">
        <is>
          <t>EBOGO BIKOULA Gilbert</t>
        </is>
      </c>
      <c r="B6" s="31" t="n"/>
      <c r="C6" s="32" t="n"/>
      <c r="D6" s="32" t="n"/>
      <c r="E6" s="31" t="n"/>
      <c r="F6" s="31" t="n"/>
      <c r="G6" s="32" t="n"/>
      <c r="H6" s="32" t="n"/>
      <c r="I6" s="32" t="n"/>
      <c r="J6" s="32" t="n"/>
      <c r="K6" s="32" t="n"/>
      <c r="L6" s="32" t="n"/>
      <c r="M6" s="32" t="n"/>
      <c r="N6" s="27">
        <f>+SUM(B6:M6)</f>
        <v/>
      </c>
    </row>
    <row r="7">
      <c r="A7" s="5" t="inlineStr">
        <is>
          <t>ESSALA Etienne</t>
        </is>
      </c>
      <c r="B7" s="32" t="n"/>
      <c r="C7" s="32" t="n"/>
      <c r="D7" s="32" t="n"/>
      <c r="E7" s="31" t="n"/>
      <c r="F7" s="31" t="n"/>
      <c r="G7" s="32" t="n"/>
      <c r="H7" s="32" t="n"/>
      <c r="I7" s="32" t="n"/>
      <c r="J7" s="32" t="n"/>
      <c r="K7" s="32" t="n"/>
      <c r="L7" s="32" t="n"/>
      <c r="M7" s="32" t="n"/>
      <c r="N7" s="27">
        <f>+SUM(B7:M7)</f>
        <v/>
      </c>
    </row>
    <row r="8">
      <c r="A8" s="15" t="inlineStr">
        <is>
          <t>ETOA Yves</t>
        </is>
      </c>
      <c r="B8" s="31" t="n"/>
      <c r="C8" s="32" t="n"/>
      <c r="D8" s="32" t="n"/>
      <c r="E8" s="31" t="n"/>
      <c r="F8" s="31" t="n"/>
      <c r="G8" s="32" t="n"/>
      <c r="H8" s="32" t="n"/>
      <c r="I8" s="32" t="n"/>
      <c r="J8" s="32" t="n"/>
      <c r="K8" s="32" t="n"/>
      <c r="L8" s="32" t="n"/>
      <c r="M8" s="32" t="n"/>
      <c r="N8" s="27">
        <f>+SUM(B8:M8)</f>
        <v/>
      </c>
    </row>
    <row r="9">
      <c r="A9" s="5" t="inlineStr">
        <is>
          <t>EWALA Jacques Philippe</t>
        </is>
      </c>
      <c r="B9" s="31" t="n"/>
      <c r="C9" s="32" t="n"/>
      <c r="D9" s="32" t="n"/>
      <c r="E9" s="31" t="n"/>
      <c r="F9" s="31" t="n"/>
      <c r="G9" s="32" t="n"/>
      <c r="H9" s="32" t="n"/>
      <c r="I9" s="32" t="n"/>
      <c r="J9" s="32" t="n"/>
      <c r="K9" s="32" t="n"/>
      <c r="L9" s="32" t="n"/>
      <c r="M9" s="32" t="n"/>
      <c r="N9" s="27">
        <f>+SUM(B9:M9)</f>
        <v/>
      </c>
    </row>
    <row r="10">
      <c r="A10" s="15" t="inlineStr">
        <is>
          <t>FOTUE KAMGUE Kevin</t>
        </is>
      </c>
      <c r="B10" s="31" t="n"/>
      <c r="C10" s="32" t="n"/>
      <c r="D10" s="32" t="n"/>
      <c r="E10" s="31" t="n"/>
      <c r="F10" s="31" t="n"/>
      <c r="G10" s="32" t="n"/>
      <c r="H10" s="32" t="n"/>
      <c r="I10" s="32" t="n"/>
      <c r="J10" s="32" t="n"/>
      <c r="K10" s="32" t="n"/>
      <c r="L10" s="32" t="n"/>
      <c r="M10" s="32" t="n"/>
      <c r="N10" s="27">
        <f>+SUM(B10:M10)</f>
        <v/>
      </c>
    </row>
    <row r="11">
      <c r="A11" s="5" t="inlineStr">
        <is>
          <t>IPOULE Michel Landry</t>
        </is>
      </c>
      <c r="B11" s="31" t="n"/>
      <c r="C11" s="32" t="n"/>
      <c r="D11" s="31" t="n"/>
      <c r="E11" s="31" t="n"/>
      <c r="F11" s="31" t="n"/>
      <c r="G11" s="32" t="n"/>
      <c r="H11" s="32" t="n"/>
      <c r="I11" s="32" t="n"/>
      <c r="J11" s="32" t="n"/>
      <c r="K11" s="32" t="n"/>
      <c r="L11" s="32" t="n"/>
      <c r="M11" s="32" t="n"/>
      <c r="N11" s="27">
        <f>+SUM(B11:M11)</f>
        <v/>
      </c>
    </row>
    <row r="12">
      <c r="A12" s="15" t="inlineStr">
        <is>
          <t>ITOP Samuel</t>
        </is>
      </c>
      <c r="B12" s="31" t="n"/>
      <c r="C12" s="32" t="n"/>
      <c r="D12" s="31" t="n"/>
      <c r="E12" s="31" t="n"/>
      <c r="F12" s="31" t="n"/>
      <c r="G12" s="31" t="n"/>
      <c r="H12" s="32" t="n"/>
      <c r="I12" s="32" t="n"/>
      <c r="J12" s="32" t="n"/>
      <c r="K12" s="32" t="n"/>
      <c r="L12" s="32" t="n"/>
      <c r="M12" s="32" t="n"/>
      <c r="N12" s="27">
        <f>+SUM(B12:M12)</f>
        <v/>
      </c>
    </row>
    <row r="13">
      <c r="A13" s="5" t="inlineStr">
        <is>
          <t>LIKENG BALABA</t>
        </is>
      </c>
      <c r="B13" s="31" t="n"/>
      <c r="C13" s="32" t="n"/>
      <c r="D13" s="32" t="n"/>
      <c r="E13" s="31" t="n"/>
      <c r="F13" s="31" t="n"/>
      <c r="G13" s="31" t="n"/>
      <c r="H13" s="32" t="n"/>
      <c r="I13" s="32" t="n"/>
      <c r="J13" s="32" t="n"/>
      <c r="K13" s="32" t="n"/>
      <c r="L13" s="32" t="n"/>
      <c r="M13" s="32" t="n"/>
      <c r="N13" s="27">
        <f>+SUM(B13:M13)</f>
        <v/>
      </c>
    </row>
    <row r="14">
      <c r="A14" s="15" t="inlineStr">
        <is>
          <t>MAMA Paul Yannick</t>
        </is>
      </c>
      <c r="B14" s="31" t="n"/>
      <c r="C14" s="32" t="n"/>
      <c r="D14" s="31" t="n"/>
      <c r="E14" s="31" t="n"/>
      <c r="F14" s="31" t="n"/>
      <c r="G14" s="31" t="n"/>
      <c r="H14" s="32" t="n"/>
      <c r="I14" s="32" t="n"/>
      <c r="J14" s="32" t="n"/>
      <c r="K14" s="32" t="n"/>
      <c r="L14" s="31" t="n"/>
      <c r="M14" s="32" t="n"/>
      <c r="N14" s="27">
        <f>+SUM(B14:M14)</f>
        <v/>
      </c>
    </row>
    <row r="15">
      <c r="A15" s="5" t="inlineStr">
        <is>
          <t>MANI EKOUDI François M.</t>
        </is>
      </c>
      <c r="B15" s="31" t="n"/>
      <c r="C15" s="31" t="n"/>
      <c r="D15" s="32" t="n"/>
      <c r="E15" s="31" t="n"/>
      <c r="F15" s="31" t="n"/>
      <c r="G15" s="31" t="n"/>
      <c r="H15" s="32" t="n"/>
      <c r="I15" s="32" t="n"/>
      <c r="J15" s="32" t="n"/>
      <c r="K15" s="32" t="n"/>
      <c r="L15" s="31" t="n"/>
      <c r="M15" s="32" t="n"/>
      <c r="N15" s="27">
        <f>+SUM(B15:M15)</f>
        <v/>
      </c>
    </row>
    <row r="16">
      <c r="A16" s="15" t="inlineStr">
        <is>
          <t>MBA ENYOUGOU Bernard</t>
        </is>
      </c>
      <c r="B16" s="31" t="n"/>
      <c r="C16" s="32" t="n"/>
      <c r="D16" s="32" t="n"/>
      <c r="E16" s="31" t="n"/>
      <c r="F16" s="31" t="n"/>
      <c r="G16" s="31" t="n"/>
      <c r="H16" s="32" t="n"/>
      <c r="I16" s="32" t="n"/>
      <c r="J16" s="32" t="n"/>
      <c r="K16" s="32" t="n"/>
      <c r="L16" s="31" t="n"/>
      <c r="M16" s="32" t="n"/>
      <c r="N16" s="27">
        <f>+SUM(B16:M16)</f>
        <v/>
      </c>
    </row>
    <row r="17">
      <c r="A17" s="5" t="inlineStr">
        <is>
          <t>MBADI Homer Paul</t>
        </is>
      </c>
      <c r="B17" s="31" t="n"/>
      <c r="C17" s="32" t="n"/>
      <c r="D17" s="31" t="n"/>
      <c r="E17" s="31" t="n"/>
      <c r="F17" s="31" t="n"/>
      <c r="G17" s="31" t="n"/>
      <c r="H17" s="32" t="n"/>
      <c r="I17" s="32" t="n"/>
      <c r="J17" s="32" t="n"/>
      <c r="K17" s="32" t="n"/>
      <c r="L17" s="31" t="n"/>
      <c r="M17" s="32" t="n"/>
      <c r="N17" s="27">
        <f>+SUM(B17:M17)</f>
        <v/>
      </c>
    </row>
    <row r="18">
      <c r="A18" s="15" t="inlineStr">
        <is>
          <t>MBAMBA NSOA Jean Paul</t>
        </is>
      </c>
      <c r="B18" s="31" t="n"/>
      <c r="C18" s="32" t="n"/>
      <c r="D18" s="32" t="n"/>
      <c r="E18" s="31" t="n"/>
      <c r="F18" s="31" t="n"/>
      <c r="G18" s="31" t="n"/>
      <c r="H18" s="32" t="n"/>
      <c r="I18" s="32" t="n"/>
      <c r="J18" s="32" t="n"/>
      <c r="K18" s="32" t="n"/>
      <c r="L18" s="31" t="n"/>
      <c r="M18" s="32" t="n"/>
      <c r="N18" s="27">
        <f>+SUM(B18:M18)</f>
        <v/>
      </c>
    </row>
    <row r="19">
      <c r="A19" s="5" t="inlineStr">
        <is>
          <t>MENGUE François Xavier</t>
        </is>
      </c>
      <c r="B19" s="31" t="n"/>
      <c r="C19" s="32" t="n"/>
      <c r="D19" s="31" t="n"/>
      <c r="E19" s="31" t="n"/>
      <c r="F19" s="31" t="n"/>
      <c r="G19" s="31" t="n"/>
      <c r="H19" s="32" t="n"/>
      <c r="I19" s="32" t="n"/>
      <c r="J19" s="32" t="n"/>
      <c r="K19" s="32" t="n"/>
      <c r="L19" s="31" t="n"/>
      <c r="M19" s="32" t="n"/>
      <c r="N19" s="27">
        <f>+SUM(B19:M19)</f>
        <v/>
      </c>
    </row>
    <row r="20">
      <c r="A20" s="15" t="inlineStr">
        <is>
          <t>MIONG RIGOBERT Dieudonné</t>
        </is>
      </c>
      <c r="B20" s="31" t="n"/>
      <c r="C20" s="32" t="n"/>
      <c r="D20" s="31" t="n"/>
      <c r="E20" s="31" t="n"/>
      <c r="F20" s="31" t="n"/>
      <c r="G20" s="31" t="n"/>
      <c r="H20" s="32" t="n"/>
      <c r="I20" s="32" t="n"/>
      <c r="J20" s="32" t="n"/>
      <c r="K20" s="32" t="n"/>
      <c r="L20" s="31" t="n"/>
      <c r="M20" s="32" t="n"/>
      <c r="N20" s="27">
        <f>+SUM(B20:M20)</f>
        <v/>
      </c>
    </row>
    <row r="21">
      <c r="A21" s="5" t="inlineStr">
        <is>
          <t>NDJOCK Thaddée Rodrigue</t>
        </is>
      </c>
      <c r="B21" s="31" t="n"/>
      <c r="C21" s="32" t="n"/>
      <c r="D21" s="32" t="n"/>
      <c r="E21" s="31" t="n"/>
      <c r="F21" s="31" t="n"/>
      <c r="G21" s="31" t="n"/>
      <c r="H21" s="32" t="n"/>
      <c r="I21" s="32" t="n"/>
      <c r="J21" s="32" t="n"/>
      <c r="K21" s="32" t="n"/>
      <c r="L21" s="31" t="n"/>
      <c r="M21" s="32" t="n"/>
      <c r="N21" s="27">
        <f>+SUM(B21:M21)</f>
        <v/>
      </c>
    </row>
    <row r="22">
      <c r="A22" s="15" t="inlineStr">
        <is>
          <t>NKOLO NGAH Emmanuel</t>
        </is>
      </c>
      <c r="B22" s="31" t="n"/>
      <c r="C22" s="32" t="n"/>
      <c r="D22" s="31" t="n"/>
      <c r="E22" s="31" t="n"/>
      <c r="F22" s="31" t="n"/>
      <c r="G22" s="31" t="n"/>
      <c r="H22" s="32" t="n"/>
      <c r="I22" s="32" t="n"/>
      <c r="J22" s="32" t="n"/>
      <c r="K22" s="32" t="n"/>
      <c r="L22" s="31" t="n"/>
      <c r="M22" s="32" t="n"/>
      <c r="N22" s="27">
        <f>+SUM(B22:M22)</f>
        <v/>
      </c>
    </row>
    <row r="23">
      <c r="A23" s="5" t="inlineStr">
        <is>
          <t>NOAH Patrick Michel Brice</t>
        </is>
      </c>
      <c r="B23" s="31" t="n"/>
      <c r="C23" s="32" t="n"/>
      <c r="D23" s="31" t="n"/>
      <c r="E23" s="31" t="n"/>
      <c r="F23" s="31" t="n"/>
      <c r="G23" s="31" t="n"/>
      <c r="H23" s="32" t="n"/>
      <c r="I23" s="32" t="n"/>
      <c r="J23" s="32" t="n"/>
      <c r="K23" s="32" t="n"/>
      <c r="L23" s="31" t="n"/>
      <c r="M23" s="32" t="n"/>
      <c r="N23" s="27">
        <f>+SUM(B23:M23)</f>
        <v/>
      </c>
    </row>
    <row r="24">
      <c r="A24" s="15" t="inlineStr">
        <is>
          <t>NONBO Marc</t>
        </is>
      </c>
      <c r="B24" s="31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1" t="n"/>
      <c r="M24" s="32" t="n"/>
      <c r="N24" s="27">
        <f>+SUM(B24:M24)</f>
        <v/>
      </c>
    </row>
    <row r="25">
      <c r="A25" s="5" t="inlineStr">
        <is>
          <t>NSOA MBONDO Pierre</t>
        </is>
      </c>
      <c r="B25" s="31" t="n"/>
      <c r="C25" s="32" t="n"/>
      <c r="D25" s="31" t="n"/>
      <c r="E25" s="32" t="n"/>
      <c r="F25" s="32" t="n"/>
      <c r="G25" s="32" t="n"/>
      <c r="H25" s="32" t="n"/>
      <c r="I25" s="32" t="n"/>
      <c r="J25" s="32" t="n"/>
      <c r="K25" s="32" t="n"/>
      <c r="L25" s="31" t="n"/>
      <c r="M25" s="32" t="n"/>
      <c r="N25" s="27">
        <f>+SUM(B25:M25)</f>
        <v/>
      </c>
    </row>
    <row r="26">
      <c r="A26" s="15" t="inlineStr">
        <is>
          <t>NSOE NKOULI Jean-Baptiste</t>
        </is>
      </c>
      <c r="B26" s="31" t="n"/>
      <c r="C26" s="32" t="n"/>
      <c r="D26" s="31" t="n"/>
      <c r="E26" s="32" t="n"/>
      <c r="F26" s="32" t="n"/>
      <c r="G26" s="32" t="n"/>
      <c r="H26" s="32" t="n"/>
      <c r="I26" s="32" t="n"/>
      <c r="J26" s="32" t="n"/>
      <c r="K26" s="32" t="n"/>
      <c r="L26" s="31" t="n"/>
      <c r="M26" s="32" t="n"/>
      <c r="N26" s="27">
        <f>+SUM(B26:M26)</f>
        <v/>
      </c>
    </row>
    <row r="27">
      <c r="A27" s="5" t="inlineStr">
        <is>
          <t>NYECK PONDI Etienne</t>
        </is>
      </c>
      <c r="B27" s="31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27">
        <f>+SUM(B27:M27)</f>
        <v/>
      </c>
    </row>
    <row r="28">
      <c r="A28" s="15" t="inlineStr">
        <is>
          <t>OMGBA FOUDA Simon Pierre</t>
        </is>
      </c>
      <c r="B28" s="31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27">
        <f>+SUM(B28:M28)</f>
        <v/>
      </c>
    </row>
    <row r="29">
      <c r="A29" s="5" t="inlineStr">
        <is>
          <t>OMGBA MIMBOE Gaetan</t>
        </is>
      </c>
      <c r="B29" s="31" t="n"/>
      <c r="C29" s="32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27">
        <f>+SUM(B29:M29)</f>
        <v/>
      </c>
    </row>
    <row r="30">
      <c r="A30" s="15" t="inlineStr">
        <is>
          <t>ONANA NKADA Laurent S.</t>
        </is>
      </c>
      <c r="B30" s="31" t="n"/>
      <c r="C30" s="32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27">
        <f>+SUM(B30:M30)</f>
        <v/>
      </c>
    </row>
    <row r="31">
      <c r="A31" s="5" t="inlineStr">
        <is>
          <t>ONDOA Jean</t>
        </is>
      </c>
      <c r="B31" s="31" t="n"/>
      <c r="C31" s="32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27">
        <f>+SUM(B31:M31)</f>
        <v/>
      </c>
    </row>
    <row r="32">
      <c r="A32" s="15" t="inlineStr">
        <is>
          <t>TSANGA TSANGA Christol</t>
        </is>
      </c>
      <c r="B32" s="31" t="n"/>
      <c r="C32" s="32" t="n"/>
      <c r="D32" s="32" t="n"/>
      <c r="E32" s="31" t="n"/>
      <c r="F32" s="31" t="n"/>
      <c r="G32" s="32" t="n"/>
      <c r="H32" s="32" t="n"/>
      <c r="I32" s="32" t="n"/>
      <c r="J32" s="32" t="n"/>
      <c r="K32" s="32" t="n"/>
      <c r="L32" s="32" t="n"/>
      <c r="M32" s="32" t="n"/>
      <c r="N32" s="27">
        <f>+SUM(B32:M32)</f>
        <v/>
      </c>
    </row>
    <row r="33">
      <c r="A33" s="5" t="inlineStr">
        <is>
          <t>ZE ANDJE Eric</t>
        </is>
      </c>
      <c r="B33" s="31" t="n"/>
      <c r="C33" s="32" t="n"/>
      <c r="D33" s="31" t="n"/>
      <c r="E33" s="31" t="n"/>
      <c r="F33" s="31" t="n"/>
      <c r="G33" s="32" t="n"/>
      <c r="H33" s="32" t="n"/>
      <c r="I33" s="32" t="n"/>
      <c r="J33" s="32" t="n"/>
      <c r="K33" s="32" t="n"/>
      <c r="L33" s="32" t="n"/>
      <c r="M33" s="32" t="n"/>
      <c r="N33" s="27">
        <f>+SUM(B33:M33)</f>
        <v/>
      </c>
    </row>
    <row r="34">
      <c r="A34" s="16" t="inlineStr">
        <is>
          <t>TOTAL</t>
        </is>
      </c>
      <c r="B34" s="27">
        <f>+SUM(B2:B33)</f>
        <v/>
      </c>
      <c r="C34" s="27">
        <f>+SUM(C2:C33)</f>
        <v/>
      </c>
      <c r="D34" s="27">
        <f>+SUM(D2:D33)</f>
        <v/>
      </c>
      <c r="E34" s="27">
        <f>+SUM(E2:E33)</f>
        <v/>
      </c>
      <c r="F34" s="27">
        <f>+SUM(F2:F33)</f>
        <v/>
      </c>
      <c r="G34" s="27">
        <f>+SUM(G2:G33)</f>
        <v/>
      </c>
      <c r="H34" s="27">
        <f>+SUM(H2:H33)</f>
        <v/>
      </c>
      <c r="I34" s="27">
        <f>+SUM(I2:I33)</f>
        <v/>
      </c>
      <c r="J34" s="27">
        <f>+SUM(J2:J33)</f>
        <v/>
      </c>
      <c r="K34" s="27">
        <f>+SUM(K2:K33)</f>
        <v/>
      </c>
      <c r="L34" s="27">
        <f>+SUM(L2:L33)</f>
        <v/>
      </c>
      <c r="M34" s="27">
        <f>+SUM(M2:M33)</f>
        <v/>
      </c>
      <c r="N34" s="27">
        <f>+SUM(B34:M34)</f>
        <v/>
      </c>
    </row>
    <row r="36">
      <c r="N36" s="33" t="n"/>
    </row>
    <row r="39">
      <c r="F39" s="33">
        <f>D7*(4/100)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zoomScaleNormal="10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baseColWidth="10" defaultRowHeight="15"/>
  <cols>
    <col width="22.85546875" customWidth="1" min="1" max="1"/>
    <col width="11.7109375" customWidth="1" min="2" max="2"/>
    <col width="12.140625" customWidth="1" min="3" max="3"/>
  </cols>
  <sheetData>
    <row r="1">
      <c r="A1" t="inlineStr">
        <is>
          <t>Noms et prénoms</t>
        </is>
      </c>
      <c r="B1" s="23" t="inlineStr">
        <is>
          <t>AOUT</t>
        </is>
      </c>
      <c r="C1" s="23" t="inlineStr">
        <is>
          <t xml:space="preserve"> SEPT</t>
        </is>
      </c>
      <c r="D1" s="23" t="inlineStr">
        <is>
          <t xml:space="preserve"> OCT</t>
        </is>
      </c>
      <c r="E1" s="23" t="inlineStr">
        <is>
          <t>NOV</t>
        </is>
      </c>
      <c r="F1" s="23" t="inlineStr">
        <is>
          <t>DEC</t>
        </is>
      </c>
      <c r="G1" s="23" t="inlineStr">
        <is>
          <t>JANV</t>
        </is>
      </c>
      <c r="H1" s="23" t="inlineStr">
        <is>
          <t xml:space="preserve"> FEV</t>
        </is>
      </c>
      <c r="I1" s="23" t="inlineStr">
        <is>
          <t>MARS</t>
        </is>
      </c>
      <c r="J1" s="23" t="inlineStr">
        <is>
          <t xml:space="preserve"> AVRIL</t>
        </is>
      </c>
      <c r="K1" s="23" t="inlineStr">
        <is>
          <t xml:space="preserve"> MAI</t>
        </is>
      </c>
      <c r="L1" s="23" t="inlineStr">
        <is>
          <t xml:space="preserve"> JUIN</t>
        </is>
      </c>
      <c r="M1" s="23" t="inlineStr">
        <is>
          <t>JUIL</t>
        </is>
      </c>
      <c r="N1" s="23" t="inlineStr">
        <is>
          <t>TOTAL</t>
        </is>
      </c>
    </row>
    <row r="2">
      <c r="A2" s="15" t="inlineStr">
        <is>
          <t>ABENG ZE Jean Claude</t>
        </is>
      </c>
      <c r="B2" s="17">
        <f>(prets25!B2*(4/100))</f>
        <v/>
      </c>
      <c r="C2" s="17">
        <f>(prets25!C2*(4/100))</f>
        <v/>
      </c>
      <c r="D2" s="17">
        <f>(prets25!D2*(4/100))</f>
        <v/>
      </c>
      <c r="E2" s="17">
        <f>(prets25!E2*(4/100))</f>
        <v/>
      </c>
      <c r="F2" s="17">
        <f>(prets25!F2*(4/100))</f>
        <v/>
      </c>
      <c r="G2" s="17">
        <f>(prets25!G2*(4/100))</f>
        <v/>
      </c>
      <c r="H2" s="17">
        <f>(prets25!H2*(4/100))</f>
        <v/>
      </c>
      <c r="I2" s="17">
        <f>(prets25!I2*(4/100))</f>
        <v/>
      </c>
      <c r="J2" s="17">
        <f>(prets25!J2*(4/100))</f>
        <v/>
      </c>
      <c r="K2" s="17">
        <f>(prets25!K2*(4/100))</f>
        <v/>
      </c>
      <c r="L2" s="17">
        <f>(prets25!L2*(4/100))</f>
        <v/>
      </c>
      <c r="M2" s="17">
        <f>(prets25!M2*(4/100))</f>
        <v/>
      </c>
      <c r="N2" s="19">
        <f>+SUM(B2:M2)</f>
        <v/>
      </c>
    </row>
    <row r="3">
      <c r="A3" s="5" t="inlineStr">
        <is>
          <t>BANGA NNA Israel</t>
        </is>
      </c>
      <c r="B3" s="17">
        <f>(prets25!B3*(4/100))</f>
        <v/>
      </c>
      <c r="C3" s="17">
        <f>(prets25!C3*(4/100))</f>
        <v/>
      </c>
      <c r="D3" s="17">
        <f>(prets25!D3*(4/100))</f>
        <v/>
      </c>
      <c r="E3" s="17">
        <f>(prets25!E3*(4/100))</f>
        <v/>
      </c>
      <c r="F3" s="17">
        <f>(prets25!F3*(4/100))</f>
        <v/>
      </c>
      <c r="G3" s="17">
        <f>(prets25!G3*(4/100))</f>
        <v/>
      </c>
      <c r="H3" s="17">
        <f>(prets25!H3*(4/100))</f>
        <v/>
      </c>
      <c r="I3" s="17">
        <f>(prets25!I3*(4/100))</f>
        <v/>
      </c>
      <c r="J3" s="17">
        <f>(prets25!J3*(4/100))</f>
        <v/>
      </c>
      <c r="K3" s="17">
        <f>(prets25!K3*(4/100))</f>
        <v/>
      </c>
      <c r="L3" s="17">
        <f>(prets25!L3*(4/100))</f>
        <v/>
      </c>
      <c r="M3" s="17">
        <f>(prets25!M3*(4/100))</f>
        <v/>
      </c>
      <c r="N3" s="19">
        <f>+SUM(B3:M3)</f>
        <v/>
      </c>
    </row>
    <row r="4">
      <c r="A4" s="15" t="inlineStr">
        <is>
          <t>BISSAI BI NOMBO Fabrice</t>
        </is>
      </c>
      <c r="B4" s="17">
        <f>(prets25!B4*(4/100))</f>
        <v/>
      </c>
      <c r="C4" s="17">
        <f>(prets25!C4*(4/100))</f>
        <v/>
      </c>
      <c r="D4" s="17">
        <f>(prets25!D4*(4/100))</f>
        <v/>
      </c>
      <c r="E4" s="17">
        <f>(prets25!E4*(4/100))</f>
        <v/>
      </c>
      <c r="F4" s="17">
        <f>(prets25!F4*(4/100))</f>
        <v/>
      </c>
      <c r="G4" s="17">
        <f>(prets25!G4*(4/100))</f>
        <v/>
      </c>
      <c r="H4" s="17">
        <f>(prets25!H4*(4/100))</f>
        <v/>
      </c>
      <c r="I4" s="17">
        <f>(prets25!I4*(4/100))</f>
        <v/>
      </c>
      <c r="J4" s="17">
        <f>(prets25!J4*(4/100))</f>
        <v/>
      </c>
      <c r="K4" s="17">
        <f>(prets25!K4*(4/100))</f>
        <v/>
      </c>
      <c r="L4" s="17">
        <f>(prets25!L4*(4/100))</f>
        <v/>
      </c>
      <c r="M4" s="17">
        <f>(prets25!M4*(4/100))</f>
        <v/>
      </c>
      <c r="N4" s="19">
        <f>+SUM(B4:M4)</f>
        <v/>
      </c>
    </row>
    <row r="5">
      <c r="A5" s="5" t="inlineStr">
        <is>
          <t>BOMBA FOUDA Mathieu</t>
        </is>
      </c>
      <c r="B5" s="17">
        <f>(prets25!B5*(4/100))</f>
        <v/>
      </c>
      <c r="C5" s="17">
        <f>(prets25!C5*(4/100))</f>
        <v/>
      </c>
      <c r="D5" s="17">
        <f>(prets25!D5*(4/100))</f>
        <v/>
      </c>
      <c r="E5" s="17">
        <f>(prets25!E5*(4/100))</f>
        <v/>
      </c>
      <c r="F5" s="17">
        <f>(prets25!F5*(4/100))</f>
        <v/>
      </c>
      <c r="G5" s="17">
        <f>(prets25!G5*(4/100))</f>
        <v/>
      </c>
      <c r="H5" s="17">
        <f>(prets25!H5*(4/100))</f>
        <v/>
      </c>
      <c r="I5" s="17">
        <f>(prets25!I5*(4/100))</f>
        <v/>
      </c>
      <c r="J5" s="17">
        <f>(prets25!J5*(4/100))</f>
        <v/>
      </c>
      <c r="K5" s="17">
        <f>(prets25!K5*(4/100))</f>
        <v/>
      </c>
      <c r="L5" s="17">
        <f>(prets25!L5*(4/100))</f>
        <v/>
      </c>
      <c r="M5" s="17">
        <f>(prets25!M5*(4/100))</f>
        <v/>
      </c>
      <c r="N5" s="19">
        <f>+SUM(B5:M5)</f>
        <v/>
      </c>
    </row>
    <row r="6">
      <c r="A6" s="15" t="inlineStr">
        <is>
          <t>EBOGO BIKOULA Gilbert</t>
        </is>
      </c>
      <c r="B6" s="17">
        <f>(prets25!B6*(4/100))</f>
        <v/>
      </c>
      <c r="C6" s="17">
        <f>(prets25!C6*(4/100))</f>
        <v/>
      </c>
      <c r="D6" s="17">
        <f>(prets25!D6*(4/100))</f>
        <v/>
      </c>
      <c r="E6" s="17">
        <f>(prets25!E6*(4/100))</f>
        <v/>
      </c>
      <c r="F6" s="17">
        <f>(prets25!F6*(4/100))</f>
        <v/>
      </c>
      <c r="G6" s="17">
        <f>(prets25!G6*(4/100))</f>
        <v/>
      </c>
      <c r="H6" s="17">
        <f>(prets25!H6*(4/100))</f>
        <v/>
      </c>
      <c r="I6" s="17">
        <f>(prets25!I6*(4/100))</f>
        <v/>
      </c>
      <c r="J6" s="17">
        <f>(prets25!J6*(4/100))</f>
        <v/>
      </c>
      <c r="K6" s="17">
        <f>(prets25!K6*(4/100))</f>
        <v/>
      </c>
      <c r="L6" s="17">
        <f>(prets25!L6*(4/100))</f>
        <v/>
      </c>
      <c r="M6" s="17">
        <f>(prets25!M6*(4/100))</f>
        <v/>
      </c>
      <c r="N6" s="19">
        <f>+SUM(B6:M6)</f>
        <v/>
      </c>
    </row>
    <row r="7">
      <c r="A7" s="5" t="inlineStr">
        <is>
          <t>ESSALA Etienne</t>
        </is>
      </c>
      <c r="B7" s="17">
        <f>(prets25!B7*(4/100))</f>
        <v/>
      </c>
      <c r="C7" s="17">
        <f>(prets25!C7*(4/100))</f>
        <v/>
      </c>
      <c r="D7" s="17">
        <f>(prets25!D7*(4/100))</f>
        <v/>
      </c>
      <c r="E7" s="17">
        <f>(prets25!E7*(4/100))</f>
        <v/>
      </c>
      <c r="F7" s="17">
        <f>(prets25!F7*(4/100))</f>
        <v/>
      </c>
      <c r="G7" s="17">
        <f>(prets25!G7*(4/100))</f>
        <v/>
      </c>
      <c r="H7" s="17">
        <f>(prets25!H7*(4/100))</f>
        <v/>
      </c>
      <c r="I7" s="17">
        <f>(prets25!I7*(4/100))</f>
        <v/>
      </c>
      <c r="J7" s="17">
        <f>(prets25!J7*(4/100))</f>
        <v/>
      </c>
      <c r="K7" s="17">
        <f>(prets25!K7*(4/100))</f>
        <v/>
      </c>
      <c r="L7" s="17">
        <f>(prets25!L7*(4/100))</f>
        <v/>
      </c>
      <c r="M7" s="17">
        <f>(prets25!M7*(4/100))</f>
        <v/>
      </c>
      <c r="N7" s="19">
        <f>+SUM(B7:M7)</f>
        <v/>
      </c>
    </row>
    <row r="8">
      <c r="A8" s="15" t="inlineStr">
        <is>
          <t>ETOA Yves</t>
        </is>
      </c>
      <c r="B8" s="17">
        <f>(prets25!B8*(4/100))</f>
        <v/>
      </c>
      <c r="C8" s="17">
        <f>(prets25!C8*(4/100))</f>
        <v/>
      </c>
      <c r="D8" s="17">
        <f>(prets25!D8*(4/100))</f>
        <v/>
      </c>
      <c r="E8" s="17">
        <f>(prets25!E8*(4/100))</f>
        <v/>
      </c>
      <c r="F8" s="17">
        <f>(prets25!F8*(4/100))</f>
        <v/>
      </c>
      <c r="G8" s="17">
        <f>(prets25!G8*(4/100))</f>
        <v/>
      </c>
      <c r="H8" s="17">
        <f>(prets25!H8*(4/100))</f>
        <v/>
      </c>
      <c r="I8" s="17">
        <f>(prets25!I8*(4/100))</f>
        <v/>
      </c>
      <c r="J8" s="17">
        <f>(prets25!J8*(4/100))</f>
        <v/>
      </c>
      <c r="K8" s="17">
        <f>(prets25!K8*(4/100))</f>
        <v/>
      </c>
      <c r="L8" s="17">
        <f>(prets25!L8*(4/100))</f>
        <v/>
      </c>
      <c r="M8" s="17">
        <f>(prets25!M8*(4/100))</f>
        <v/>
      </c>
      <c r="N8" s="19">
        <f>+SUM(B8:M8)</f>
        <v/>
      </c>
    </row>
    <row r="9">
      <c r="A9" s="5" t="inlineStr">
        <is>
          <t>EWALA Jacques Philippe</t>
        </is>
      </c>
      <c r="B9" s="17">
        <f>(prets25!B9*(4/100))</f>
        <v/>
      </c>
      <c r="C9" s="17">
        <f>(prets25!C9*(4/100))</f>
        <v/>
      </c>
      <c r="D9" s="17">
        <f>(prets25!D9*(4/100))</f>
        <v/>
      </c>
      <c r="E9" s="17">
        <f>(prets25!E9*(4/100))</f>
        <v/>
      </c>
      <c r="F9" s="17">
        <f>(prets25!F9*(4/100))</f>
        <v/>
      </c>
      <c r="G9" s="17">
        <f>(prets25!G9*(4/100))</f>
        <v/>
      </c>
      <c r="H9" s="17">
        <f>(prets25!H9*(4/100))</f>
        <v/>
      </c>
      <c r="I9" s="17">
        <f>(prets25!I9*(4/100))</f>
        <v/>
      </c>
      <c r="J9" s="17">
        <f>(prets25!J9*(4/100))</f>
        <v/>
      </c>
      <c r="K9" s="17">
        <f>(prets25!K9*(4/100))</f>
        <v/>
      </c>
      <c r="L9" s="17">
        <f>(prets25!L9*(4/100))</f>
        <v/>
      </c>
      <c r="M9" s="17">
        <f>(prets25!M9*(4/100))</f>
        <v/>
      </c>
      <c r="N9" s="19">
        <f>+SUM(B9:M9)</f>
        <v/>
      </c>
    </row>
    <row r="10">
      <c r="A10" s="15" t="inlineStr">
        <is>
          <t>FOTUE KAMGUE Kevin</t>
        </is>
      </c>
      <c r="B10" s="17">
        <f>(prets25!B10*(4/100))</f>
        <v/>
      </c>
      <c r="C10" s="17">
        <f>(prets25!C10*(4/100))</f>
        <v/>
      </c>
      <c r="D10" s="17">
        <f>(prets25!D10*(4/100))</f>
        <v/>
      </c>
      <c r="E10" s="17">
        <f>(prets25!E10*(4/100))</f>
        <v/>
      </c>
      <c r="F10" s="17">
        <f>(prets25!F10*(4/100))</f>
        <v/>
      </c>
      <c r="G10" s="17">
        <f>(prets25!G10*(4/100))</f>
        <v/>
      </c>
      <c r="H10" s="17">
        <f>(prets25!H10*(4/100))</f>
        <v/>
      </c>
      <c r="I10" s="17">
        <f>(prets25!I10*(4/100))</f>
        <v/>
      </c>
      <c r="J10" s="17">
        <f>(prets25!J10*(4/100))</f>
        <v/>
      </c>
      <c r="K10" s="17">
        <f>(prets25!K10*(4/100))</f>
        <v/>
      </c>
      <c r="L10" s="17">
        <f>(prets25!L10*(4/100))</f>
        <v/>
      </c>
      <c r="M10" s="17">
        <f>(prets25!M10*(4/100))</f>
        <v/>
      </c>
      <c r="N10" s="19">
        <f>+SUM(B10:M10)</f>
        <v/>
      </c>
    </row>
    <row r="11">
      <c r="A11" s="5" t="inlineStr">
        <is>
          <t>IPOULE Michel Landry</t>
        </is>
      </c>
      <c r="B11" s="17">
        <f>(prets25!B11*(4/100))</f>
        <v/>
      </c>
      <c r="C11" s="17">
        <f>(prets25!C11*(4/100))</f>
        <v/>
      </c>
      <c r="D11" s="17">
        <f>(prets25!D11*(4/100))</f>
        <v/>
      </c>
      <c r="E11" s="17">
        <f>(prets25!E11*(4/100))</f>
        <v/>
      </c>
      <c r="F11" s="17">
        <f>(prets25!F11*(4/100))</f>
        <v/>
      </c>
      <c r="G11" s="17">
        <f>(prets25!G11*(4/100))</f>
        <v/>
      </c>
      <c r="H11" s="17">
        <f>(prets25!H11*(4/100))</f>
        <v/>
      </c>
      <c r="I11" s="17">
        <f>(prets25!I11*(4/100))</f>
        <v/>
      </c>
      <c r="J11" s="17">
        <f>(prets25!J11*(4/100))</f>
        <v/>
      </c>
      <c r="K11" s="17">
        <f>(prets25!K11*(4/100))</f>
        <v/>
      </c>
      <c r="L11" s="17">
        <f>(prets25!L11*(4/100))</f>
        <v/>
      </c>
      <c r="M11" s="17">
        <f>(prets25!M11*(4/100))</f>
        <v/>
      </c>
      <c r="N11" s="19">
        <f>+SUM(B11:M11)</f>
        <v/>
      </c>
    </row>
    <row r="12">
      <c r="A12" s="15" t="inlineStr">
        <is>
          <t>ITOP Samuel</t>
        </is>
      </c>
      <c r="B12" s="17">
        <f>(prets25!B12*(4/100))</f>
        <v/>
      </c>
      <c r="C12" s="17">
        <f>(prets25!C12*(4/100))</f>
        <v/>
      </c>
      <c r="D12" s="17">
        <f>(prets25!D12*(4/100))</f>
        <v/>
      </c>
      <c r="E12" s="17">
        <f>(prets25!E12*(4/100))</f>
        <v/>
      </c>
      <c r="F12" s="17">
        <f>(prets25!F12*(4/100))</f>
        <v/>
      </c>
      <c r="G12" s="17">
        <f>(prets25!G12*(4/100))</f>
        <v/>
      </c>
      <c r="H12" s="17">
        <f>(prets25!H12*(4/100))</f>
        <v/>
      </c>
      <c r="I12" s="17">
        <f>(prets25!I12*(4/100))</f>
        <v/>
      </c>
      <c r="J12" s="17">
        <f>(prets25!J12*(4/100))</f>
        <v/>
      </c>
      <c r="K12" s="17">
        <f>(prets25!K12*(4/100))</f>
        <v/>
      </c>
      <c r="L12" s="17">
        <f>(prets25!L12*(4/100))</f>
        <v/>
      </c>
      <c r="M12" s="17">
        <f>(prets25!M12*(4/100))</f>
        <v/>
      </c>
      <c r="N12" s="19">
        <f>+SUM(B12:M12)</f>
        <v/>
      </c>
    </row>
    <row r="13">
      <c r="A13" s="5" t="inlineStr">
        <is>
          <t>LIKENG BALABA</t>
        </is>
      </c>
      <c r="B13" s="17">
        <f>(prets25!B13*(4/100))</f>
        <v/>
      </c>
      <c r="C13" s="17">
        <f>(prets25!C13*(4/100))</f>
        <v/>
      </c>
      <c r="D13" s="17">
        <f>(prets25!D13*(4/100))</f>
        <v/>
      </c>
      <c r="E13" s="17">
        <f>(prets25!E13*(4/100))</f>
        <v/>
      </c>
      <c r="F13" s="17">
        <f>(prets25!F13*(4/100))</f>
        <v/>
      </c>
      <c r="G13" s="17">
        <f>(prets25!G13*(4/100))</f>
        <v/>
      </c>
      <c r="H13" s="17">
        <f>(prets25!H13*(4/100))</f>
        <v/>
      </c>
      <c r="I13" s="17">
        <f>(prets25!I13*(4/100))</f>
        <v/>
      </c>
      <c r="J13" s="17">
        <f>(prets25!J13*(4/100))</f>
        <v/>
      </c>
      <c r="K13" s="17">
        <f>(prets25!K13*(4/100))</f>
        <v/>
      </c>
      <c r="L13" s="17">
        <f>(prets25!L13*(4/100))</f>
        <v/>
      </c>
      <c r="M13" s="17">
        <f>(prets25!M13*(4/100))</f>
        <v/>
      </c>
      <c r="N13" s="19">
        <f>+SUM(B13:M13)</f>
        <v/>
      </c>
    </row>
    <row r="14">
      <c r="A14" s="15" t="inlineStr">
        <is>
          <t>MAMA Paul Yannick</t>
        </is>
      </c>
      <c r="B14" s="17">
        <f>(prets25!B14*(4/100))</f>
        <v/>
      </c>
      <c r="C14" s="17">
        <f>(prets25!C14*(4/100))</f>
        <v/>
      </c>
      <c r="D14" s="17">
        <f>(prets25!D14*(4/100))</f>
        <v/>
      </c>
      <c r="E14" s="17">
        <f>(prets25!E14*(4/100))</f>
        <v/>
      </c>
      <c r="F14" s="17">
        <f>(prets25!F14*(4/100))</f>
        <v/>
      </c>
      <c r="G14" s="17">
        <f>(prets25!G14*(4/100))</f>
        <v/>
      </c>
      <c r="H14" s="17">
        <f>(prets25!H14*(4/100))</f>
        <v/>
      </c>
      <c r="I14" s="17">
        <f>(prets25!I14*(4/100))</f>
        <v/>
      </c>
      <c r="J14" s="17">
        <f>(prets25!J14*(4/100))</f>
        <v/>
      </c>
      <c r="K14" s="17">
        <f>(prets25!K14*(4/100))</f>
        <v/>
      </c>
      <c r="L14" s="17">
        <f>(prets25!L14*(4/100))</f>
        <v/>
      </c>
      <c r="M14" s="17">
        <f>(prets25!M14*(4/100))</f>
        <v/>
      </c>
      <c r="N14" s="19">
        <f>+SUM(B14:M14)</f>
        <v/>
      </c>
    </row>
    <row r="15">
      <c r="A15" s="5" t="inlineStr">
        <is>
          <t>MANI EKOUDI François M.</t>
        </is>
      </c>
      <c r="B15" s="17">
        <f>(prets25!B15*(4/100))</f>
        <v/>
      </c>
      <c r="C15" s="17">
        <f>(prets25!C15*(4/100))</f>
        <v/>
      </c>
      <c r="D15" s="17">
        <f>(prets25!D15*(4/100))</f>
        <v/>
      </c>
      <c r="E15" s="17">
        <f>(prets25!E15*(4/100))</f>
        <v/>
      </c>
      <c r="F15" s="17">
        <f>(prets25!F15*(4/100))</f>
        <v/>
      </c>
      <c r="G15" s="17">
        <f>(prets25!G15*(4/100))</f>
        <v/>
      </c>
      <c r="H15" s="17">
        <f>(prets25!H15*(4/100))</f>
        <v/>
      </c>
      <c r="I15" s="17">
        <f>(prets25!I15*(4/100))</f>
        <v/>
      </c>
      <c r="J15" s="17">
        <f>(prets25!J15*(4/100))</f>
        <v/>
      </c>
      <c r="K15" s="17">
        <f>(prets25!K15*(4/100))</f>
        <v/>
      </c>
      <c r="L15" s="17">
        <f>(prets25!L15*(4/100))</f>
        <v/>
      </c>
      <c r="M15" s="17">
        <f>(prets25!M15*(4/100))</f>
        <v/>
      </c>
      <c r="N15" s="19">
        <f>+SUM(B15:M15)</f>
        <v/>
      </c>
    </row>
    <row r="16">
      <c r="A16" s="15" t="inlineStr">
        <is>
          <t>MBA ENYOUGOU Bernard</t>
        </is>
      </c>
      <c r="B16" s="17">
        <f>(prets25!B16*(4/100))</f>
        <v/>
      </c>
      <c r="C16" s="17">
        <f>(prets25!C16*(4/100))</f>
        <v/>
      </c>
      <c r="D16" s="17">
        <f>(prets25!D16*(4/100))</f>
        <v/>
      </c>
      <c r="E16" s="17">
        <f>(prets25!E16*(4/100))</f>
        <v/>
      </c>
      <c r="F16" s="17">
        <f>(prets25!F16*(4/100))</f>
        <v/>
      </c>
      <c r="G16" s="17">
        <f>(prets25!G16*(4/100))</f>
        <v/>
      </c>
      <c r="H16" s="17">
        <f>(prets25!H16*(4/100))</f>
        <v/>
      </c>
      <c r="I16" s="17">
        <f>(prets25!I16*(4/100))</f>
        <v/>
      </c>
      <c r="J16" s="17">
        <f>(prets25!J16*(4/100))</f>
        <v/>
      </c>
      <c r="K16" s="17">
        <f>(prets25!K16*(4/100))</f>
        <v/>
      </c>
      <c r="L16" s="17">
        <f>(prets25!L16*(4/100))</f>
        <v/>
      </c>
      <c r="M16" s="17">
        <f>(prets25!M16*(4/100))</f>
        <v/>
      </c>
      <c r="N16" s="19">
        <f>+SUM(B16:M16)</f>
        <v/>
      </c>
    </row>
    <row r="17">
      <c r="A17" s="5" t="inlineStr">
        <is>
          <t>MBADI Homer Paul</t>
        </is>
      </c>
      <c r="B17" s="17">
        <f>(prets25!B17*(4/100))</f>
        <v/>
      </c>
      <c r="C17" s="17">
        <f>(prets25!C17*(4/100))</f>
        <v/>
      </c>
      <c r="D17" s="17">
        <f>(prets25!D17*(4/100))</f>
        <v/>
      </c>
      <c r="E17" s="17">
        <f>(prets25!E17*(4/100))</f>
        <v/>
      </c>
      <c r="F17" s="17">
        <f>(prets25!F17*(4/100))</f>
        <v/>
      </c>
      <c r="G17" s="17">
        <f>(prets25!G17*(4/100))</f>
        <v/>
      </c>
      <c r="H17" s="17">
        <f>(prets25!H17*(4/100))</f>
        <v/>
      </c>
      <c r="I17" s="17">
        <f>(prets25!I17*(4/100))</f>
        <v/>
      </c>
      <c r="J17" s="17">
        <f>(prets25!J17*(4/100))</f>
        <v/>
      </c>
      <c r="K17" s="17">
        <f>(prets25!K17*(4/100))</f>
        <v/>
      </c>
      <c r="L17" s="17">
        <f>(prets25!L17*(4/100))</f>
        <v/>
      </c>
      <c r="M17" s="17">
        <f>(prets25!M17*(4/100))</f>
        <v/>
      </c>
      <c r="N17" s="19">
        <f>+SUM(B17:M17)</f>
        <v/>
      </c>
    </row>
    <row r="18">
      <c r="A18" s="15" t="inlineStr">
        <is>
          <t>MBAMBA NSOA Jean Paul</t>
        </is>
      </c>
      <c r="B18" s="17">
        <f>(prets25!B18*(4/100))</f>
        <v/>
      </c>
      <c r="C18" s="17">
        <f>(prets25!C18*(4/100))</f>
        <v/>
      </c>
      <c r="D18" s="17">
        <f>(prets25!D18*(4/100))</f>
        <v/>
      </c>
      <c r="E18" s="17">
        <f>(prets25!E18*(4/100))</f>
        <v/>
      </c>
      <c r="F18" s="17">
        <f>(prets25!F18*(4/100))</f>
        <v/>
      </c>
      <c r="G18" s="17">
        <f>(prets25!G18*(4/100))</f>
        <v/>
      </c>
      <c r="H18" s="17">
        <f>(prets25!H18*(4/100))</f>
        <v/>
      </c>
      <c r="I18" s="17">
        <f>(prets25!I18*(4/100))</f>
        <v/>
      </c>
      <c r="J18" s="17">
        <f>(prets25!J18*(4/100))</f>
        <v/>
      </c>
      <c r="K18" s="17">
        <f>(prets25!K18*(4/100))</f>
        <v/>
      </c>
      <c r="L18" s="17">
        <f>(prets25!L18*(4/100))</f>
        <v/>
      </c>
      <c r="M18" s="17">
        <f>(prets25!M18*(4/100))</f>
        <v/>
      </c>
      <c r="N18" s="19">
        <f>+SUM(B18:M18)</f>
        <v/>
      </c>
    </row>
    <row r="19">
      <c r="A19" s="5" t="inlineStr">
        <is>
          <t>MENGUE François Xavier</t>
        </is>
      </c>
      <c r="B19" s="17">
        <f>(prets25!B19*(4/100))</f>
        <v/>
      </c>
      <c r="C19" s="17">
        <f>(prets25!C19*(4/100))</f>
        <v/>
      </c>
      <c r="D19" s="17">
        <f>(prets25!D19*(4/100))</f>
        <v/>
      </c>
      <c r="E19" s="17">
        <f>(prets25!E19*(4/100))</f>
        <v/>
      </c>
      <c r="F19" s="17">
        <f>(prets25!F19*(4/100))</f>
        <v/>
      </c>
      <c r="G19" s="17">
        <f>(prets25!G19*(4/100))</f>
        <v/>
      </c>
      <c r="H19" s="17">
        <f>(prets25!H19*(4/100))</f>
        <v/>
      </c>
      <c r="I19" s="17">
        <f>(prets25!I19*(4/100))</f>
        <v/>
      </c>
      <c r="J19" s="17">
        <f>(prets25!J19*(4/100))</f>
        <v/>
      </c>
      <c r="K19" s="17">
        <f>(prets25!K19*(4/100))</f>
        <v/>
      </c>
      <c r="L19" s="17">
        <f>(prets25!L19*(4/100))</f>
        <v/>
      </c>
      <c r="M19" s="17">
        <f>(prets25!M19*(4/100))</f>
        <v/>
      </c>
      <c r="N19" s="19">
        <f>+SUM(B19:M19)</f>
        <v/>
      </c>
    </row>
    <row r="20">
      <c r="A20" s="15" t="inlineStr">
        <is>
          <t>MIONG RIGOBERT Dieudonné</t>
        </is>
      </c>
      <c r="B20" s="17">
        <f>(prets25!B20*(4/100))</f>
        <v/>
      </c>
      <c r="C20" s="17">
        <f>(prets25!C20*(4/100))</f>
        <v/>
      </c>
      <c r="D20" s="17">
        <f>(prets25!D20*(4/100))</f>
        <v/>
      </c>
      <c r="E20" s="17">
        <f>(prets25!E20*(4/100))</f>
        <v/>
      </c>
      <c r="F20" s="17">
        <f>(prets25!F20*(4/100))</f>
        <v/>
      </c>
      <c r="G20" s="17">
        <f>(prets25!G20*(4/100))</f>
        <v/>
      </c>
      <c r="H20" s="17">
        <f>(prets25!H20*(4/100))</f>
        <v/>
      </c>
      <c r="I20" s="17">
        <f>(prets25!I20*(4/100))</f>
        <v/>
      </c>
      <c r="J20" s="17">
        <f>(prets25!J20*(4/100))</f>
        <v/>
      </c>
      <c r="K20" s="17">
        <f>(prets25!K20*(4/100))</f>
        <v/>
      </c>
      <c r="L20" s="17">
        <f>(prets25!L20*(4/100))</f>
        <v/>
      </c>
      <c r="M20" s="17">
        <f>(prets25!M20*(4/100))</f>
        <v/>
      </c>
      <c r="N20" s="19">
        <f>+SUM(B20:M20)</f>
        <v/>
      </c>
    </row>
    <row r="21">
      <c r="A21" s="5" t="inlineStr">
        <is>
          <t>NDJOCK Thaddée Rodrigue</t>
        </is>
      </c>
      <c r="B21" s="17">
        <f>(prets25!B21*(4/100))</f>
        <v/>
      </c>
      <c r="C21" s="17">
        <f>(prets25!C21*(4/100))</f>
        <v/>
      </c>
      <c r="D21" s="17">
        <f>(prets25!D21*(4/100))</f>
        <v/>
      </c>
      <c r="E21" s="17">
        <f>(prets25!E21*(4/100))</f>
        <v/>
      </c>
      <c r="F21" s="17">
        <f>(prets25!F21*(4/100))</f>
        <v/>
      </c>
      <c r="G21" s="17">
        <f>(prets25!G21*(4/100))</f>
        <v/>
      </c>
      <c r="H21" s="17">
        <f>(prets25!H21*(4/100))</f>
        <v/>
      </c>
      <c r="I21" s="17">
        <f>(prets25!I21*(4/100))</f>
        <v/>
      </c>
      <c r="J21" s="17">
        <f>(prets25!J21*(4/100))</f>
        <v/>
      </c>
      <c r="K21" s="17">
        <f>(prets25!K21*(4/100))</f>
        <v/>
      </c>
      <c r="L21" s="17">
        <f>(prets25!L21*(4/100))</f>
        <v/>
      </c>
      <c r="M21" s="17">
        <f>(prets25!M21*(4/100))</f>
        <v/>
      </c>
      <c r="N21" s="19">
        <f>+SUM(B21:M21)</f>
        <v/>
      </c>
    </row>
    <row r="22">
      <c r="A22" s="15" t="inlineStr">
        <is>
          <t>NKOLO NGAH Emmanuel</t>
        </is>
      </c>
      <c r="B22" s="17">
        <f>(prets25!B22*(4/100))</f>
        <v/>
      </c>
      <c r="C22" s="17">
        <f>(prets25!C22*(4/100))</f>
        <v/>
      </c>
      <c r="D22" s="17">
        <f>(prets25!D22*(4/100))</f>
        <v/>
      </c>
      <c r="E22" s="17">
        <f>(prets25!E22*(4/100))</f>
        <v/>
      </c>
      <c r="F22" s="17">
        <f>(prets25!F22*(4/100))</f>
        <v/>
      </c>
      <c r="G22" s="17">
        <f>(prets25!G22*(4/100))</f>
        <v/>
      </c>
      <c r="H22" s="17">
        <f>(prets25!H22*(4/100))</f>
        <v/>
      </c>
      <c r="I22" s="17">
        <f>(prets25!I22*(4/100))</f>
        <v/>
      </c>
      <c r="J22" s="17">
        <f>(prets25!J22*(4/100))</f>
        <v/>
      </c>
      <c r="K22" s="17">
        <f>(prets25!K22*(4/100))</f>
        <v/>
      </c>
      <c r="L22" s="17">
        <f>(prets25!L22*(4/100))</f>
        <v/>
      </c>
      <c r="M22" s="17">
        <f>(prets25!M22*(4/100))</f>
        <v/>
      </c>
      <c r="N22" s="19">
        <f>+SUM(B22:M22)</f>
        <v/>
      </c>
    </row>
    <row r="23">
      <c r="A23" s="5" t="inlineStr">
        <is>
          <t>NOAH Patrick Michel Brice</t>
        </is>
      </c>
      <c r="B23" s="17">
        <f>(prets25!B23*(4/100))</f>
        <v/>
      </c>
      <c r="C23" s="17">
        <f>(prets25!C23*(4/100))</f>
        <v/>
      </c>
      <c r="D23" s="17">
        <f>(prets25!D23*(4/100))</f>
        <v/>
      </c>
      <c r="E23" s="17">
        <f>(prets25!E23*(4/100))</f>
        <v/>
      </c>
      <c r="F23" s="17">
        <f>(prets25!F23*(4/100))</f>
        <v/>
      </c>
      <c r="G23" s="17">
        <f>(prets25!G23*(4/100))</f>
        <v/>
      </c>
      <c r="H23" s="17">
        <f>(prets25!H23*(4/100))</f>
        <v/>
      </c>
      <c r="I23" s="17">
        <f>(prets25!I23*(4/100))</f>
        <v/>
      </c>
      <c r="J23" s="17">
        <f>(prets25!J23*(4/100))</f>
        <v/>
      </c>
      <c r="K23" s="17">
        <f>(prets25!K23*(4/100))</f>
        <v/>
      </c>
      <c r="L23" s="17">
        <f>(prets25!L23*(4/100))</f>
        <v/>
      </c>
      <c r="M23" s="17">
        <f>(prets25!M23*(4/100))</f>
        <v/>
      </c>
      <c r="N23" s="19">
        <f>+SUM(B23:M23)</f>
        <v/>
      </c>
    </row>
    <row r="24">
      <c r="A24" s="15" t="inlineStr">
        <is>
          <t>NONBO Marc</t>
        </is>
      </c>
      <c r="B24" s="17">
        <f>(prets25!B24*(4/100))</f>
        <v/>
      </c>
      <c r="C24" s="17">
        <f>(prets25!C24*(4/100))</f>
        <v/>
      </c>
      <c r="D24" s="17">
        <f>(prets25!D24*(4/100))</f>
        <v/>
      </c>
      <c r="E24" s="17">
        <f>(prets25!E24*(4/100))</f>
        <v/>
      </c>
      <c r="F24" s="17">
        <f>(prets25!F24*(4/100))</f>
        <v/>
      </c>
      <c r="G24" s="17">
        <f>(prets25!G24*(4/100))</f>
        <v/>
      </c>
      <c r="H24" s="17">
        <f>(prets25!H24*(4/100))</f>
        <v/>
      </c>
      <c r="I24" s="17">
        <f>(prets25!I24*(4/100))</f>
        <v/>
      </c>
      <c r="J24" s="17">
        <f>(prets25!J24*(4/100))</f>
        <v/>
      </c>
      <c r="K24" s="17">
        <f>(prets25!K24*(4/100))</f>
        <v/>
      </c>
      <c r="L24" s="17">
        <f>(prets25!L24*(4/100))</f>
        <v/>
      </c>
      <c r="M24" s="17">
        <f>(prets25!M24*(4/100))</f>
        <v/>
      </c>
      <c r="N24" s="19">
        <f>+SUM(B24:M24)</f>
        <v/>
      </c>
    </row>
    <row r="25">
      <c r="A25" s="5" t="inlineStr">
        <is>
          <t>NSOA MBONDO Pierre</t>
        </is>
      </c>
      <c r="B25" s="17">
        <f>(prets25!B25*(4/100))</f>
        <v/>
      </c>
      <c r="C25" s="17">
        <f>(prets25!C25*(4/100))</f>
        <v/>
      </c>
      <c r="D25" s="17">
        <f>(prets25!D25*(4/100))</f>
        <v/>
      </c>
      <c r="E25" s="17">
        <f>(prets25!E25*(4/100))</f>
        <v/>
      </c>
      <c r="F25" s="17">
        <f>(prets25!F25*(4/100))</f>
        <v/>
      </c>
      <c r="G25" s="17">
        <f>(prets25!G25*(4/100))</f>
        <v/>
      </c>
      <c r="H25" s="17">
        <f>(prets25!H25*(4/100))</f>
        <v/>
      </c>
      <c r="I25" s="17">
        <f>(prets25!I25*(4/100))</f>
        <v/>
      </c>
      <c r="J25" s="17">
        <f>(prets25!J25*(4/100))</f>
        <v/>
      </c>
      <c r="K25" s="17">
        <f>(prets25!K25*(4/100))</f>
        <v/>
      </c>
      <c r="L25" s="17">
        <f>(prets25!L25*(4/100))</f>
        <v/>
      </c>
      <c r="M25" s="17">
        <f>(prets25!M25*(4/100))</f>
        <v/>
      </c>
      <c r="N25" s="19">
        <f>+SUM(B25:M25)</f>
        <v/>
      </c>
    </row>
    <row r="26">
      <c r="A26" s="15" t="inlineStr">
        <is>
          <t>NSOE NKOULI Jean-Baptiste</t>
        </is>
      </c>
      <c r="B26" s="17">
        <f>(prets25!B26*(4/100))</f>
        <v/>
      </c>
      <c r="C26" s="17">
        <f>(prets25!C26*(4/100))</f>
        <v/>
      </c>
      <c r="D26" s="17">
        <f>(prets25!D26*(4/100))</f>
        <v/>
      </c>
      <c r="E26" s="17">
        <f>(prets25!E26*(4/100))</f>
        <v/>
      </c>
      <c r="F26" s="17">
        <f>(prets25!F26*(4/100))</f>
        <v/>
      </c>
      <c r="G26" s="17">
        <f>(prets25!G26*(4/100))</f>
        <v/>
      </c>
      <c r="H26" s="17">
        <f>(prets25!H26*(4/100))</f>
        <v/>
      </c>
      <c r="I26" s="17">
        <f>(prets25!I26*(4/100))</f>
        <v/>
      </c>
      <c r="J26" s="17">
        <f>(prets25!J26*(4/100))</f>
        <v/>
      </c>
      <c r="K26" s="17">
        <f>(prets25!K26*(4/100))</f>
        <v/>
      </c>
      <c r="L26" s="17">
        <f>(prets25!L26*(4/100))</f>
        <v/>
      </c>
      <c r="M26" s="17">
        <f>(prets25!M26*(4/100))</f>
        <v/>
      </c>
      <c r="N26" s="19">
        <f>+SUM(B26:M26)</f>
        <v/>
      </c>
    </row>
    <row r="27">
      <c r="A27" s="5" t="inlineStr">
        <is>
          <t>NYECK PONDI Etienne</t>
        </is>
      </c>
      <c r="B27" s="17">
        <f>(prets25!B27*(4/100))</f>
        <v/>
      </c>
      <c r="C27" s="17">
        <f>(prets25!C27*(4/100))</f>
        <v/>
      </c>
      <c r="D27" s="17">
        <f>(prets25!D27*(4/100))</f>
        <v/>
      </c>
      <c r="E27" s="17">
        <f>(prets25!E27*(4/100))</f>
        <v/>
      </c>
      <c r="F27" s="17">
        <f>(prets25!F27*(4/100))</f>
        <v/>
      </c>
      <c r="G27" s="17">
        <f>(prets25!G27*(4/100))</f>
        <v/>
      </c>
      <c r="H27" s="17">
        <f>(prets25!H27*(4/100))</f>
        <v/>
      </c>
      <c r="I27" s="17">
        <f>(prets25!I27*(4/100))</f>
        <v/>
      </c>
      <c r="J27" s="17">
        <f>(prets25!J27*(4/100))</f>
        <v/>
      </c>
      <c r="K27" s="17">
        <f>(prets25!K27*(4/100))</f>
        <v/>
      </c>
      <c r="L27" s="17">
        <f>(prets25!L27*(4/100))</f>
        <v/>
      </c>
      <c r="M27" s="17">
        <f>(prets25!M27*(4/100))</f>
        <v/>
      </c>
      <c r="N27" s="19">
        <f>+SUM(B27:M27)</f>
        <v/>
      </c>
    </row>
    <row r="28">
      <c r="A28" s="15" t="inlineStr">
        <is>
          <t>OMGBA FOUDA Simon Pierre</t>
        </is>
      </c>
      <c r="B28" s="17">
        <f>(prets25!B28*(4/100))</f>
        <v/>
      </c>
      <c r="C28" s="17">
        <f>(prets25!C28*(4/100))</f>
        <v/>
      </c>
      <c r="D28" s="17">
        <f>(prets25!D28*(4/100))</f>
        <v/>
      </c>
      <c r="E28" s="17">
        <f>(prets25!E28*(4/100))</f>
        <v/>
      </c>
      <c r="F28" s="17">
        <f>(prets25!F28*(4/100))</f>
        <v/>
      </c>
      <c r="G28" s="17">
        <f>(prets25!G28*(4/100))</f>
        <v/>
      </c>
      <c r="H28" s="17">
        <f>(prets25!H28*(4/100))</f>
        <v/>
      </c>
      <c r="I28" s="17">
        <f>(prets25!I28*(4/100))</f>
        <v/>
      </c>
      <c r="J28" s="17">
        <f>(prets25!J28*(4/100))</f>
        <v/>
      </c>
      <c r="K28" s="17">
        <f>(prets25!K28*(4/100))</f>
        <v/>
      </c>
      <c r="L28" s="17">
        <f>(prets25!L28*(4/100))</f>
        <v/>
      </c>
      <c r="M28" s="17">
        <f>(prets25!M28*(4/100))</f>
        <v/>
      </c>
      <c r="N28" s="19">
        <f>+SUM(B28:M28)</f>
        <v/>
      </c>
    </row>
    <row r="29">
      <c r="A29" s="5" t="inlineStr">
        <is>
          <t>OMGBA MIMBOE Gaetan</t>
        </is>
      </c>
      <c r="B29" s="17">
        <f>(prets25!B29*(4/100))</f>
        <v/>
      </c>
      <c r="C29" s="17">
        <f>(prets25!C29*(4/100))</f>
        <v/>
      </c>
      <c r="D29" s="17">
        <f>(prets25!D29*(4/100))</f>
        <v/>
      </c>
      <c r="E29" s="17">
        <f>(prets25!E29*(4/100))</f>
        <v/>
      </c>
      <c r="F29" s="17">
        <f>(prets25!F29*(4/100))</f>
        <v/>
      </c>
      <c r="G29" s="17">
        <f>(prets25!G29*(4/100))</f>
        <v/>
      </c>
      <c r="H29" s="17">
        <f>(prets25!H29*(4/100))</f>
        <v/>
      </c>
      <c r="I29" s="17">
        <f>(prets25!I29*(4/100))</f>
        <v/>
      </c>
      <c r="J29" s="17">
        <f>(prets25!J29*(4/100))</f>
        <v/>
      </c>
      <c r="K29" s="17">
        <f>(prets25!K29*(4/100))</f>
        <v/>
      </c>
      <c r="L29" s="17">
        <f>(prets25!L29*(4/100))</f>
        <v/>
      </c>
      <c r="M29" s="17">
        <f>(prets25!M29*(4/100))</f>
        <v/>
      </c>
      <c r="N29" s="19">
        <f>+SUM(B29:M29)</f>
        <v/>
      </c>
    </row>
    <row r="30">
      <c r="A30" s="15" t="inlineStr">
        <is>
          <t>ONANA NKADA Laurent S.</t>
        </is>
      </c>
      <c r="B30" s="17">
        <f>(prets25!B30*(4/100))</f>
        <v/>
      </c>
      <c r="C30" s="17">
        <f>(prets25!C30*(4/100))</f>
        <v/>
      </c>
      <c r="D30" s="17">
        <f>(prets25!D30*(4/100))</f>
        <v/>
      </c>
      <c r="E30" s="17">
        <f>(prets25!E30*(4/100))</f>
        <v/>
      </c>
      <c r="F30" s="17">
        <f>(prets25!F30*(4/100))</f>
        <v/>
      </c>
      <c r="G30" s="17">
        <f>(prets25!G30*(4/100))</f>
        <v/>
      </c>
      <c r="H30" s="17">
        <f>(prets25!H30*(4/100))</f>
        <v/>
      </c>
      <c r="I30" s="17">
        <f>(prets25!I30*(4/100))</f>
        <v/>
      </c>
      <c r="J30" s="17">
        <f>(prets25!J30*(4/100))</f>
        <v/>
      </c>
      <c r="K30" s="17">
        <f>(prets25!K30*(4/100))</f>
        <v/>
      </c>
      <c r="L30" s="17">
        <f>(prets25!L30*(4/100))</f>
        <v/>
      </c>
      <c r="M30" s="17">
        <f>(prets25!M30*(4/100))</f>
        <v/>
      </c>
      <c r="N30" s="19">
        <f>+SUM(B30:M30)</f>
        <v/>
      </c>
    </row>
    <row r="31">
      <c r="A31" s="5" t="inlineStr">
        <is>
          <t>ONDOA Jean</t>
        </is>
      </c>
      <c r="B31" s="17">
        <f>(prets25!B31*(4/100))</f>
        <v/>
      </c>
      <c r="C31" s="17">
        <f>(prets25!C31*(4/100))</f>
        <v/>
      </c>
      <c r="D31" s="17">
        <f>(prets25!D31*(4/100))</f>
        <v/>
      </c>
      <c r="E31" s="17">
        <f>(prets25!E31*(4/100))</f>
        <v/>
      </c>
      <c r="F31" s="17">
        <f>(prets25!F31*(4/100))</f>
        <v/>
      </c>
      <c r="G31" s="17">
        <f>(prets25!G31*(4/100))</f>
        <v/>
      </c>
      <c r="H31" s="17">
        <f>(prets25!H31*(4/100))</f>
        <v/>
      </c>
      <c r="I31" s="17">
        <f>(prets25!I31*(4/100))</f>
        <v/>
      </c>
      <c r="J31" s="17">
        <f>(prets25!J31*(4/100))</f>
        <v/>
      </c>
      <c r="K31" s="17">
        <f>(prets25!K31*(4/100))</f>
        <v/>
      </c>
      <c r="L31" s="17">
        <f>(prets25!L31*(4/100))</f>
        <v/>
      </c>
      <c r="M31" s="17">
        <f>(prets25!M31*(4/100))</f>
        <v/>
      </c>
      <c r="N31" s="19">
        <f>+SUM(B31:M31)</f>
        <v/>
      </c>
    </row>
    <row r="32">
      <c r="A32" s="15" t="inlineStr">
        <is>
          <t>TSANGA TSANGA Christol</t>
        </is>
      </c>
      <c r="B32" s="17">
        <f>(prets25!B32*(4/100))</f>
        <v/>
      </c>
      <c r="C32" s="17">
        <f>(prets25!C32*(4/100))</f>
        <v/>
      </c>
      <c r="D32" s="17">
        <f>(prets25!D32*(4/100))</f>
        <v/>
      </c>
      <c r="E32" s="17">
        <f>(prets25!E32*(4/100))</f>
        <v/>
      </c>
      <c r="F32" s="17">
        <f>(prets25!F32*(4/100))</f>
        <v/>
      </c>
      <c r="G32" s="17">
        <f>(prets25!G32*(4/100))</f>
        <v/>
      </c>
      <c r="H32" s="17">
        <f>(prets25!H32*(4/100))</f>
        <v/>
      </c>
      <c r="I32" s="17">
        <f>(prets25!I32*(4/100))</f>
        <v/>
      </c>
      <c r="J32" s="17">
        <f>(prets25!J32*(4/100))</f>
        <v/>
      </c>
      <c r="K32" s="17">
        <f>(prets25!K32*(4/100))</f>
        <v/>
      </c>
      <c r="L32" s="17">
        <f>(prets25!L32*(4/100))</f>
        <v/>
      </c>
      <c r="M32" s="17">
        <f>(prets25!M32*(4/100))</f>
        <v/>
      </c>
      <c r="N32" s="19">
        <f>+SUM(B32:M32)</f>
        <v/>
      </c>
    </row>
    <row r="33">
      <c r="A33" s="5" t="inlineStr">
        <is>
          <t>ZE ANDJE Eric</t>
        </is>
      </c>
      <c r="B33" s="17">
        <f>(prets25!B33*(4/100))</f>
        <v/>
      </c>
      <c r="C33" s="17">
        <f>(prets25!C33*(4/100))</f>
        <v/>
      </c>
      <c r="D33" s="17">
        <f>(prets25!D33*(4/100))</f>
        <v/>
      </c>
      <c r="E33" s="17">
        <f>(prets25!E33*(4/100))</f>
        <v/>
      </c>
      <c r="F33" s="17">
        <f>(prets25!F33*(4/100))</f>
        <v/>
      </c>
      <c r="G33" s="17">
        <f>(prets25!G33*(4/100))</f>
        <v/>
      </c>
      <c r="H33" s="17">
        <f>(prets25!H33*(4/100))</f>
        <v/>
      </c>
      <c r="I33" s="17">
        <f>(prets25!I33*(4/100))</f>
        <v/>
      </c>
      <c r="J33" s="17">
        <f>(prets25!J33*(4/100))</f>
        <v/>
      </c>
      <c r="K33" s="17">
        <f>(prets25!K33*(4/100))</f>
        <v/>
      </c>
      <c r="L33" s="17">
        <f>(prets25!L33*(4/100))</f>
        <v/>
      </c>
      <c r="M33" s="17">
        <f>(prets25!M33*(4/100))</f>
        <v/>
      </c>
      <c r="N33" s="19">
        <f>+SUM(B33:M33)</f>
        <v/>
      </c>
    </row>
    <row r="34">
      <c r="A34" s="16" t="inlineStr">
        <is>
          <t>TOTAL</t>
        </is>
      </c>
      <c r="B34" s="2">
        <f>+SUM(B2:B33)</f>
        <v/>
      </c>
      <c r="C34" s="2">
        <f>+SUM(C2:C33)</f>
        <v/>
      </c>
      <c r="D34" s="2">
        <f>+SUM(D2:D33)</f>
        <v/>
      </c>
      <c r="E34" s="2">
        <f>+SUM(E2:E33)</f>
        <v/>
      </c>
      <c r="F34" s="2">
        <f>+SUM(F2:F33)</f>
        <v/>
      </c>
      <c r="G34" s="2">
        <f>+SUM(G2:G33)</f>
        <v/>
      </c>
      <c r="H34" s="2">
        <f>+SUM(H2:H33)</f>
        <v/>
      </c>
      <c r="I34" s="2">
        <f>+SUM(I2:I33)</f>
        <v/>
      </c>
      <c r="J34" s="2">
        <f>+SUM(J2:J33)</f>
        <v/>
      </c>
      <c r="K34" s="2">
        <f>+SUM(K2:K33)</f>
        <v/>
      </c>
      <c r="L34" s="2">
        <f>+SUM(L2:L33)</f>
        <v/>
      </c>
      <c r="M34" s="2">
        <f>+SUM(M2:M33)</f>
        <v/>
      </c>
      <c r="N34" s="2">
        <f>+SUM(N2:N33)</f>
        <v/>
      </c>
    </row>
  </sheetData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zoomScale="85" zoomScaleNormal="85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B2" sqref="B2:B29"/>
    </sheetView>
  </sheetViews>
  <sheetFormatPr baseColWidth="10" defaultRowHeight="17.25"/>
  <cols>
    <col width="30.28515625" customWidth="1" style="9" min="1" max="1"/>
    <col width="14.140625" customWidth="1" style="9" min="2" max="2"/>
    <col width="14.42578125" customWidth="1" style="9" min="3" max="5"/>
    <col width="13.7109375" customWidth="1" style="9" min="6" max="6"/>
    <col width="13" customWidth="1" style="9" min="7" max="7"/>
    <col width="14.28515625" customWidth="1" style="9" min="8" max="8"/>
    <col width="16" customWidth="1" style="9" min="9" max="9"/>
    <col width="13.7109375" customWidth="1" style="9" min="10" max="10"/>
    <col width="14.85546875" customWidth="1" style="9" min="11" max="11"/>
    <col width="13.28515625" customWidth="1" style="9" min="12" max="12"/>
    <col width="13.42578125" customWidth="1" style="9" min="13" max="14"/>
    <col width="14" customWidth="1" style="9" min="15" max="15"/>
    <col width="11.42578125" customWidth="1" style="9" min="16" max="16384"/>
  </cols>
  <sheetData>
    <row r="1">
      <c r="A1" s="21" t="inlineStr">
        <is>
          <t>NOMS ET PRENOMS</t>
        </is>
      </c>
      <c r="B1" s="21" t="inlineStr">
        <is>
          <t>inscriptions</t>
        </is>
      </c>
      <c r="C1" s="21" t="inlineStr">
        <is>
          <t>SEC SEPT</t>
        </is>
      </c>
      <c r="D1" s="21" t="inlineStr">
        <is>
          <t>SEC OCT</t>
        </is>
      </c>
      <c r="E1" s="21" t="inlineStr">
        <is>
          <t>SEC NOV</t>
        </is>
      </c>
      <c r="F1" s="21" t="inlineStr">
        <is>
          <t>SEC DEC</t>
        </is>
      </c>
      <c r="G1" s="21" t="inlineStr">
        <is>
          <t>SEC JANV</t>
        </is>
      </c>
      <c r="H1" s="21" t="inlineStr">
        <is>
          <t>SEC FEV</t>
        </is>
      </c>
      <c r="I1" s="21" t="inlineStr">
        <is>
          <t>SEC MAR</t>
        </is>
      </c>
      <c r="J1" s="21" t="inlineStr">
        <is>
          <t>SEC AVR</t>
        </is>
      </c>
      <c r="K1" s="21" t="inlineStr">
        <is>
          <t>SEC MAI</t>
        </is>
      </c>
      <c r="L1" s="21" t="inlineStr">
        <is>
          <t>SEC JUIN</t>
        </is>
      </c>
      <c r="M1" s="21" t="inlineStr">
        <is>
          <t>SEC JUIL</t>
        </is>
      </c>
      <c r="N1" s="21" t="inlineStr">
        <is>
          <t>SEC AOUT</t>
        </is>
      </c>
      <c r="O1" s="21" t="inlineStr">
        <is>
          <t>TOTAL</t>
        </is>
      </c>
    </row>
    <row r="2">
      <c r="A2" s="22" t="inlineStr">
        <is>
          <t>ABENG ZE Jean Claude</t>
        </is>
      </c>
      <c r="B2" s="6" t="n">
        <v>10000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>
        <f>+SUM(C2:N2)</f>
        <v/>
      </c>
    </row>
    <row r="3">
      <c r="A3" s="22" t="inlineStr">
        <is>
          <t>BANGA NNA Israel</t>
        </is>
      </c>
      <c r="B3" s="6" t="n">
        <v>10000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8">
        <f>+SUM(C3:N3)</f>
        <v/>
      </c>
    </row>
    <row r="4">
      <c r="A4" s="22" t="inlineStr">
        <is>
          <t>BISSAI BI NOMBO Fabrice</t>
        </is>
      </c>
      <c r="B4" s="6" t="n">
        <v>10000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8">
        <f>+SUM(C4:N4)</f>
        <v/>
      </c>
    </row>
    <row r="5">
      <c r="A5" s="22" t="inlineStr">
        <is>
          <t>BOMBA FOUDA Mathieu</t>
        </is>
      </c>
      <c r="B5" s="6" t="n">
        <v>10000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>
        <f>+SUM(C5:N5)</f>
        <v/>
      </c>
    </row>
    <row r="6">
      <c r="A6" s="22" t="inlineStr">
        <is>
          <t>EBOGO BIKOULA Gilbert</t>
        </is>
      </c>
      <c r="B6" s="6" t="n">
        <v>10000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+SUM(C6:N6)</f>
        <v/>
      </c>
    </row>
    <row r="7">
      <c r="A7" s="22" t="inlineStr">
        <is>
          <t>ESSALA Etienne</t>
        </is>
      </c>
      <c r="B7" s="6" t="n">
        <v>10000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>
        <f>+SUM(C7:N7)</f>
        <v/>
      </c>
    </row>
    <row r="8">
      <c r="A8" s="22" t="inlineStr">
        <is>
          <t>ETOA Yves</t>
        </is>
      </c>
      <c r="B8" s="6" t="n">
        <v>10000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>
        <f>+SUM(C8:N8)</f>
        <v/>
      </c>
    </row>
    <row r="9">
      <c r="A9" s="22" t="inlineStr">
        <is>
          <t>EWALA Jacques Philippe</t>
        </is>
      </c>
      <c r="B9" s="6" t="n">
        <v>10000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8">
        <f>+SUM(C9:N9)</f>
        <v/>
      </c>
    </row>
    <row r="10">
      <c r="A10" s="22" t="inlineStr">
        <is>
          <t>FOTUE KAMGUE Kevin</t>
        </is>
      </c>
      <c r="B10" s="6" t="n">
        <v>10000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>
        <f>+SUM(C10:N10)</f>
        <v/>
      </c>
    </row>
    <row r="11">
      <c r="A11" s="22" t="inlineStr">
        <is>
          <t>IPOULE Michel Landry</t>
        </is>
      </c>
      <c r="B11" s="6" t="n">
        <v>10000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8">
        <f>+SUM(C11:N11)</f>
        <v/>
      </c>
    </row>
    <row r="12">
      <c r="A12" s="22" t="inlineStr">
        <is>
          <t>ITOP Samuel</t>
        </is>
      </c>
      <c r="B12" s="6" t="n">
        <v>10000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8">
        <f>+SUM(C12:N12)</f>
        <v/>
      </c>
    </row>
    <row r="13">
      <c r="A13" s="22" t="inlineStr">
        <is>
          <t>LIKENG BALABA</t>
        </is>
      </c>
      <c r="B13" s="6" t="n">
        <v>10000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>
        <f>+SUM(C13:N13)</f>
        <v/>
      </c>
    </row>
    <row r="14">
      <c r="A14" s="22" t="inlineStr">
        <is>
          <t>MAMA Paul Yannick</t>
        </is>
      </c>
      <c r="B14" s="6" t="n">
        <v>10000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>
        <f>+SUM(C14:N14)</f>
        <v/>
      </c>
    </row>
    <row r="15">
      <c r="A15" s="22" t="inlineStr">
        <is>
          <t>MANI EKOUDI François M.</t>
        </is>
      </c>
      <c r="B15" s="6" t="n">
        <v>10000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>
        <f>+SUM(C15:N15)</f>
        <v/>
      </c>
    </row>
    <row r="16">
      <c r="A16" s="22" t="inlineStr">
        <is>
          <t>MBA ENYOUGOU Bernard</t>
        </is>
      </c>
      <c r="B16" s="6" t="n">
        <v>10000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>
        <f>+SUM(C16:N16)</f>
        <v/>
      </c>
    </row>
    <row r="17">
      <c r="A17" s="22" t="inlineStr">
        <is>
          <t>MBADI Homer Paul</t>
        </is>
      </c>
      <c r="B17" s="6" t="n">
        <v>10000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>
        <f>+SUM(C17:N17)</f>
        <v/>
      </c>
    </row>
    <row r="18">
      <c r="A18" s="22" t="inlineStr">
        <is>
          <t>MBAMBA NSOA Jean Paul</t>
        </is>
      </c>
      <c r="B18" s="6" t="n">
        <v>10000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>
        <f>+SUM(C18:N18)</f>
        <v/>
      </c>
    </row>
    <row r="19">
      <c r="A19" s="22" t="inlineStr">
        <is>
          <t>MENGUE François Xavier</t>
        </is>
      </c>
      <c r="B19" s="6" t="n">
        <v>10000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>
        <f>+SUM(C19:N19)</f>
        <v/>
      </c>
    </row>
    <row r="20">
      <c r="A20" s="22" t="inlineStr">
        <is>
          <t>MIONG RIGOBERT Dieudonné</t>
        </is>
      </c>
      <c r="B20" s="6" t="n">
        <v>10000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>
        <f>+SUM(C20:N20)</f>
        <v/>
      </c>
    </row>
    <row r="21">
      <c r="A21" s="22" t="inlineStr">
        <is>
          <t>NDJOCK Thaddée Rodrigue</t>
        </is>
      </c>
      <c r="B21" s="6" t="n">
        <v>10000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8">
        <f>+SUM(C21:N21)</f>
        <v/>
      </c>
    </row>
    <row r="22">
      <c r="A22" s="22" t="inlineStr">
        <is>
          <t>NKOLO NGAH Emmanuel</t>
        </is>
      </c>
      <c r="B22" s="6" t="n">
        <v>10000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>
        <f>+SUM(C22:N22)</f>
        <v/>
      </c>
    </row>
    <row r="23">
      <c r="A23" s="22" t="inlineStr">
        <is>
          <t>NOAH Patrick Michel Brice</t>
        </is>
      </c>
      <c r="B23" s="6" t="n">
        <v>10000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8">
        <f>+SUM(C23:N23)</f>
        <v/>
      </c>
    </row>
    <row r="24">
      <c r="A24" s="22" t="inlineStr">
        <is>
          <t>NONBO Marc</t>
        </is>
      </c>
      <c r="B24" s="6" t="n">
        <v>10000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>
        <f>+SUM(C24:N24)</f>
        <v/>
      </c>
    </row>
    <row r="25">
      <c r="A25" s="22" t="inlineStr">
        <is>
          <t>NSOA MBONDO Pierre</t>
        </is>
      </c>
      <c r="B25" s="6" t="n">
        <v>10000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>
        <f>+SUM(C25:N25)</f>
        <v/>
      </c>
    </row>
    <row r="26">
      <c r="A26" s="22" t="inlineStr">
        <is>
          <t>NSOE NKOULI Jean-Baptiste</t>
        </is>
      </c>
      <c r="B26" s="6" t="n">
        <v>10000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>
        <f>+SUM(C26:N26)</f>
        <v/>
      </c>
    </row>
    <row r="27">
      <c r="A27" s="22" t="inlineStr">
        <is>
          <t>NYECK PONDI Etienne</t>
        </is>
      </c>
      <c r="B27" s="6" t="n">
        <v>10000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8">
        <f>+SUM(C27:N27)</f>
        <v/>
      </c>
    </row>
    <row r="28">
      <c r="A28" s="22" t="inlineStr">
        <is>
          <t>OMGBA FOUDA Simon Pierre</t>
        </is>
      </c>
      <c r="B28" s="6" t="n">
        <v>10000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>
        <f>+SUM(C28:N28)</f>
        <v/>
      </c>
    </row>
    <row r="29">
      <c r="A29" s="22" t="inlineStr">
        <is>
          <t>OMGBA MIMBOE Gaetan</t>
        </is>
      </c>
      <c r="B29" s="6" t="n">
        <v>10000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8">
        <f>+SUM(C29:N29)</f>
        <v/>
      </c>
    </row>
    <row r="30">
      <c r="A30" s="22" t="inlineStr">
        <is>
          <t>ONANA NKADA Laurent S.</t>
        </is>
      </c>
      <c r="B30" s="6" t="n">
        <v>10000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8">
        <f>+SUM(C30:N30)</f>
        <v/>
      </c>
    </row>
    <row r="31">
      <c r="A31" s="22" t="inlineStr">
        <is>
          <t>ONDOA Jean</t>
        </is>
      </c>
      <c r="B31" s="6" t="n">
        <v>10000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8">
        <f>+SUM(C31:N31)</f>
        <v/>
      </c>
    </row>
    <row r="32">
      <c r="A32" s="22" t="inlineStr">
        <is>
          <t>TSANGA TSANGA Christol</t>
        </is>
      </c>
      <c r="B32" s="6" t="n">
        <v>10000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8">
        <f>+SUM(C32:N32)</f>
        <v/>
      </c>
    </row>
    <row r="33">
      <c r="A33" s="22" t="inlineStr">
        <is>
          <t>ZE ANDJE Eric</t>
        </is>
      </c>
      <c r="B33" s="6" t="n">
        <v>10000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8">
        <f>+SUM(C33:N33)</f>
        <v/>
      </c>
    </row>
    <row r="34" customFormat="1" s="12">
      <c r="A34" s="10" t="inlineStr">
        <is>
          <t>total</t>
        </is>
      </c>
      <c r="B34" s="11">
        <f>+SUM(B2:B33)</f>
        <v/>
      </c>
      <c r="C34" s="10">
        <f>+SUM(C2:C33)</f>
        <v/>
      </c>
      <c r="D34" s="10">
        <f>+SUM(D2:D33)</f>
        <v/>
      </c>
      <c r="E34" s="10">
        <f>+SUM(E2:E33)</f>
        <v/>
      </c>
      <c r="F34" s="10">
        <f>+SUM(F2:F33)</f>
        <v/>
      </c>
      <c r="G34" s="12">
        <f>+SUM(G2:G33)</f>
        <v/>
      </c>
      <c r="H34" s="10">
        <f>+SUM(H2:H33)</f>
        <v/>
      </c>
      <c r="I34" s="10">
        <f>+SUM(I2:I33)</f>
        <v/>
      </c>
      <c r="J34" s="10">
        <f>+SUM(J2:J33)</f>
        <v/>
      </c>
      <c r="K34" s="10">
        <f>+SUM(K2:K33)</f>
        <v/>
      </c>
      <c r="L34" s="10">
        <f>+SUM(L2:L33)</f>
        <v/>
      </c>
      <c r="M34" s="10">
        <f>+SUM(M2:M33)</f>
        <v/>
      </c>
      <c r="N34" s="10">
        <f>+SUM(N2:N33)</f>
        <v/>
      </c>
      <c r="O34" s="13">
        <f>+SUM(C34:N34)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tabSelected="1" workbookViewId="0">
      <pane ySplit="1" topLeftCell="A2" activePane="bottomLeft" state="frozen"/>
      <selection pane="bottomLeft" activeCell="C67" sqref="C67"/>
    </sheetView>
  </sheetViews>
  <sheetFormatPr baseColWidth="10" defaultRowHeight="15"/>
  <cols>
    <col width="6.140625" customWidth="1" min="1" max="1"/>
    <col width="23.140625" customWidth="1" min="2" max="2"/>
    <col width="12.85546875" customWidth="1" min="3" max="3"/>
    <col width="11.5703125" bestFit="1" customWidth="1" min="4" max="4"/>
    <col width="13.28515625" bestFit="1" customWidth="1" min="5" max="5"/>
    <col width="11.85546875" bestFit="1" customWidth="1" min="6" max="6"/>
    <col width="11.5703125" bestFit="1" customWidth="1" min="7" max="7"/>
    <col width="13.28515625" bestFit="1" customWidth="1" min="8" max="8"/>
    <col width="11.85546875" bestFit="1" customWidth="1" min="9" max="9"/>
    <col width="11.5703125" bestFit="1" customWidth="1" min="10" max="10"/>
    <col width="11.85546875" bestFit="1" customWidth="1" min="11" max="11"/>
    <col width="11.5703125" bestFit="1" customWidth="1" min="12" max="12"/>
    <col width="14.42578125" bestFit="1" customWidth="1" min="13" max="13"/>
  </cols>
  <sheetData>
    <row r="1">
      <c r="A1" s="45" t="inlineStr">
        <is>
          <t>N</t>
        </is>
      </c>
      <c r="B1" s="1" t="inlineStr">
        <is>
          <t>NOMS ET PRENOMS</t>
        </is>
      </c>
      <c r="C1" s="1" t="inlineStr">
        <is>
          <t>INSC</t>
        </is>
      </c>
      <c r="D1" s="1" t="inlineStr">
        <is>
          <t>SECOURS</t>
        </is>
      </c>
      <c r="E1" s="1" t="inlineStr">
        <is>
          <t>TONTINE</t>
        </is>
      </c>
      <c r="F1" s="1" t="inlineStr">
        <is>
          <t>POT</t>
        </is>
      </c>
      <c r="G1" s="1" t="inlineStr">
        <is>
          <t>REM_PRET</t>
        </is>
      </c>
      <c r="H1" s="1" t="inlineStr">
        <is>
          <t>EPARGNE</t>
        </is>
      </c>
      <c r="I1" s="1" t="inlineStr">
        <is>
          <t>PRÊT</t>
        </is>
      </c>
      <c r="J1" s="68" t="inlineStr">
        <is>
          <t>Colonne1</t>
        </is>
      </c>
      <c r="K1" s="1" t="inlineStr">
        <is>
          <t>PROJET</t>
        </is>
      </c>
      <c r="L1" s="1" t="inlineStr">
        <is>
          <t>AUTRES</t>
        </is>
      </c>
      <c r="M1" s="3" t="inlineStr">
        <is>
          <t>TOTAL</t>
        </is>
      </c>
    </row>
    <row r="2">
      <c r="A2" s="46" t="n">
        <v>0</v>
      </c>
      <c r="B2" s="42" t="inlineStr">
        <is>
          <t>ABENG ZE Jean Claude</t>
        </is>
      </c>
      <c r="C2" s="44" t="n"/>
      <c r="D2" s="44" t="n"/>
      <c r="E2" s="44" t="n">
        <v>200000</v>
      </c>
      <c r="F2" s="44" t="n">
        <v>3000</v>
      </c>
      <c r="G2" s="44" t="n"/>
      <c r="H2" s="44" t="n"/>
      <c r="I2" s="44" t="n"/>
      <c r="J2" s="69" t="n"/>
      <c r="K2" s="44" t="n"/>
      <c r="L2" s="44" t="n"/>
      <c r="M2" s="52">
        <f>+SUM(C2:L2)</f>
        <v/>
      </c>
    </row>
    <row r="3">
      <c r="A3" s="53" t="n">
        <v>0</v>
      </c>
      <c r="B3" s="54" t="inlineStr">
        <is>
          <t>BANGA NNA Israel</t>
        </is>
      </c>
      <c r="C3" s="55" t="n"/>
      <c r="D3" s="44" t="n"/>
      <c r="E3" s="55" t="n">
        <v>300000</v>
      </c>
      <c r="F3" s="55" t="n">
        <v>3000</v>
      </c>
      <c r="G3" s="55" t="n"/>
      <c r="H3" s="55" t="n"/>
      <c r="I3" s="55" t="n"/>
      <c r="J3" s="69" t="n"/>
      <c r="K3" s="55" t="n"/>
      <c r="L3" s="55" t="n"/>
      <c r="M3" s="56">
        <f>+SUM(C3:L3)</f>
        <v/>
      </c>
    </row>
    <row r="4">
      <c r="A4" s="46" t="n"/>
      <c r="B4" s="42" t="inlineStr">
        <is>
          <t>BISSAI BI NOMBO Fabrice</t>
        </is>
      </c>
      <c r="C4" s="44" t="n"/>
      <c r="D4" s="44" t="n"/>
      <c r="E4" s="44" t="n">
        <v>150000</v>
      </c>
      <c r="F4" s="67" t="n"/>
      <c r="G4" s="44" t="n"/>
      <c r="H4" s="44" t="n"/>
      <c r="I4" s="44" t="n"/>
      <c r="J4" s="69" t="n"/>
      <c r="K4" s="44" t="n"/>
      <c r="L4" s="44" t="n"/>
      <c r="M4" s="52">
        <f>+SUM(C4:L4)</f>
        <v/>
      </c>
    </row>
    <row r="5">
      <c r="A5" s="53" t="n"/>
      <c r="B5" s="54" t="inlineStr">
        <is>
          <t>BOMBA FOUDA Mathieu</t>
        </is>
      </c>
      <c r="C5" s="55" t="n"/>
      <c r="D5" s="44" t="n"/>
      <c r="E5" s="55" t="n">
        <v>200000</v>
      </c>
      <c r="F5" s="55" t="n">
        <v>3000</v>
      </c>
      <c r="G5" s="55" t="n"/>
      <c r="H5" s="55" t="n"/>
      <c r="I5" s="55" t="n"/>
      <c r="J5" s="69" t="n"/>
      <c r="K5" s="55" t="n"/>
      <c r="L5" s="55" t="n"/>
      <c r="M5" s="56">
        <f>+SUM(C5:L5)</f>
        <v/>
      </c>
    </row>
    <row r="6">
      <c r="A6" s="63" t="n">
        <v>0</v>
      </c>
      <c r="B6" s="42" t="inlineStr">
        <is>
          <t>EBOGO BIKOULA Gilbert</t>
        </is>
      </c>
      <c r="C6" s="44" t="n"/>
      <c r="D6" s="44" t="n"/>
      <c r="E6" s="44" t="n">
        <v>100000</v>
      </c>
      <c r="F6" s="44" t="n">
        <v>3000</v>
      </c>
      <c r="G6" s="44" t="n"/>
      <c r="H6" s="44" t="n"/>
      <c r="I6" s="44" t="n"/>
      <c r="J6" s="69" t="n"/>
      <c r="K6" s="44" t="n"/>
      <c r="L6" s="44" t="n"/>
      <c r="M6" s="52">
        <f>+SUM(C6:L6)</f>
        <v/>
      </c>
    </row>
    <row r="7">
      <c r="A7" s="53" t="n"/>
      <c r="B7" s="54" t="inlineStr">
        <is>
          <t>ESSALA Etienne</t>
        </is>
      </c>
      <c r="C7" s="55" t="n"/>
      <c r="D7" s="44" t="n"/>
      <c r="E7" s="55" t="n">
        <v>300000</v>
      </c>
      <c r="F7" s="55" t="n">
        <v>3000</v>
      </c>
      <c r="G7" s="55" t="n"/>
      <c r="H7" s="55" t="n">
        <v>10000</v>
      </c>
      <c r="I7" s="55" t="n"/>
      <c r="J7" s="69" t="n"/>
      <c r="K7" s="55" t="n"/>
      <c r="L7" s="55" t="n"/>
      <c r="M7" s="56">
        <f>+SUM(C7:L7)</f>
        <v/>
      </c>
    </row>
    <row r="8">
      <c r="A8" s="46" t="n"/>
      <c r="B8" s="42" t="inlineStr">
        <is>
          <t>ETOA Yves</t>
        </is>
      </c>
      <c r="C8" s="44" t="n"/>
      <c r="D8" s="44" t="n"/>
      <c r="E8" s="44" t="n">
        <v>300000</v>
      </c>
      <c r="F8" s="44" t="n">
        <v>3000</v>
      </c>
      <c r="G8" s="44" t="n"/>
      <c r="H8" s="44" t="n">
        <v>1300000</v>
      </c>
      <c r="I8" s="44" t="n"/>
      <c r="J8" s="69" t="n"/>
      <c r="K8" s="44" t="n">
        <v>200000</v>
      </c>
      <c r="L8" s="44" t="n"/>
      <c r="M8" s="52">
        <f>+SUM(C8:L8)</f>
        <v/>
      </c>
    </row>
    <row r="9">
      <c r="A9" s="53" t="n"/>
      <c r="B9" s="54" t="inlineStr">
        <is>
          <t>EWALA Jacques Philippe</t>
        </is>
      </c>
      <c r="C9" s="55" t="n"/>
      <c r="D9" s="44" t="n"/>
      <c r="E9" s="55" t="n">
        <v>100000</v>
      </c>
      <c r="F9" s="55" t="n">
        <v>3000</v>
      </c>
      <c r="G9" s="55" t="n"/>
      <c r="H9" s="55" t="n"/>
      <c r="I9" s="55" t="n"/>
      <c r="J9" s="69" t="n"/>
      <c r="K9" s="55" t="n"/>
      <c r="L9" s="55" t="n"/>
      <c r="M9" s="56">
        <f>+SUM(C9:L9)</f>
        <v/>
      </c>
    </row>
    <row r="10">
      <c r="A10" s="46" t="n"/>
      <c r="B10" s="42" t="inlineStr">
        <is>
          <t>FOTUE KAMGUE Kevin</t>
        </is>
      </c>
      <c r="C10" s="44" t="n"/>
      <c r="D10" s="44" t="n"/>
      <c r="E10" s="44" t="n">
        <v>200000</v>
      </c>
      <c r="F10" s="44" t="n">
        <v>3000</v>
      </c>
      <c r="G10" s="44" t="n"/>
      <c r="H10" s="44" t="n"/>
      <c r="I10" s="44" t="n"/>
      <c r="J10" s="69" t="n"/>
      <c r="K10" s="44" t="n"/>
      <c r="L10" s="44" t="n"/>
      <c r="M10" s="52">
        <f>+SUM(C10:L10)</f>
        <v/>
      </c>
    </row>
    <row r="11">
      <c r="A11" s="53" t="n"/>
      <c r="B11" s="54" t="inlineStr">
        <is>
          <t>IPOULE Michel Landry</t>
        </is>
      </c>
      <c r="C11" s="55" t="n"/>
      <c r="D11" s="44" t="n"/>
      <c r="E11" s="55" t="n">
        <v>200000</v>
      </c>
      <c r="F11" s="62" t="n"/>
      <c r="G11" s="55" t="n"/>
      <c r="H11" s="55" t="n"/>
      <c r="I11" s="55" t="n"/>
      <c r="J11" s="69" t="n"/>
      <c r="K11" s="55" t="n"/>
      <c r="L11" s="55" t="n"/>
      <c r="M11" s="56">
        <f>+SUM(C11:L11)</f>
        <v/>
      </c>
    </row>
    <row r="12">
      <c r="A12" s="46" t="n"/>
      <c r="B12" s="42" t="inlineStr">
        <is>
          <t>ITOP Samuel</t>
        </is>
      </c>
      <c r="C12" s="44" t="n"/>
      <c r="D12" s="44" t="n"/>
      <c r="E12" s="44" t="n">
        <v>300000</v>
      </c>
      <c r="F12" s="44" t="n">
        <v>3000</v>
      </c>
      <c r="G12" s="44" t="n"/>
      <c r="H12" s="44" t="n"/>
      <c r="I12" s="44" t="n"/>
      <c r="J12" s="69" t="n"/>
      <c r="K12" s="44" t="n"/>
      <c r="L12" s="44" t="n"/>
      <c r="M12" s="52">
        <f>+SUM(C12:L12)</f>
        <v/>
      </c>
    </row>
    <row r="13">
      <c r="A13" s="53" t="n"/>
      <c r="B13" s="54" t="inlineStr">
        <is>
          <t>LIKENG BALABA</t>
        </is>
      </c>
      <c r="C13" s="55" t="n"/>
      <c r="D13" s="44" t="n"/>
      <c r="E13" s="55" t="n">
        <v>50000</v>
      </c>
      <c r="F13" s="55" t="n">
        <v>3000</v>
      </c>
      <c r="G13" s="55" t="n"/>
      <c r="H13" s="55" t="n"/>
      <c r="I13" s="55" t="n">
        <v>25000</v>
      </c>
      <c r="J13" s="69" t="n"/>
      <c r="K13" s="55" t="n"/>
      <c r="L13" s="55" t="n"/>
      <c r="M13" s="56">
        <f>+SUM(C13:L13)</f>
        <v/>
      </c>
    </row>
    <row r="14">
      <c r="A14" s="46" t="n"/>
      <c r="B14" s="57" t="inlineStr">
        <is>
          <t>LIKENG BALABA II</t>
        </is>
      </c>
      <c r="C14" s="58" t="n"/>
      <c r="D14" s="44" t="n"/>
      <c r="E14" s="58" t="n">
        <v>400000</v>
      </c>
      <c r="F14" s="58" t="n">
        <v>3000</v>
      </c>
      <c r="G14" s="58" t="n"/>
      <c r="H14" s="58" t="n"/>
      <c r="I14" s="58" t="n"/>
      <c r="J14" s="70" t="n"/>
      <c r="K14" s="58" t="n"/>
      <c r="L14" s="58" t="n"/>
      <c r="M14" s="52">
        <f>+SUM(C14:L14)</f>
        <v/>
      </c>
    </row>
    <row r="15">
      <c r="A15" s="53" t="n"/>
      <c r="B15" s="54" t="inlineStr">
        <is>
          <t>MAMA Paul Yannick</t>
        </is>
      </c>
      <c r="C15" s="55" t="n"/>
      <c r="D15" s="44" t="n"/>
      <c r="E15" s="55" t="n">
        <v>300000</v>
      </c>
      <c r="F15" s="55" t="n">
        <v>3000</v>
      </c>
      <c r="G15" s="55" t="n"/>
      <c r="H15" s="55" t="n"/>
      <c r="I15" s="55" t="n"/>
      <c r="J15" s="69" t="n"/>
      <c r="K15" s="55" t="n"/>
      <c r="L15" s="55" t="n"/>
      <c r="M15" s="56">
        <f>+SUM(C15:L15)</f>
        <v/>
      </c>
    </row>
    <row r="16">
      <c r="A16" s="46" t="n"/>
      <c r="B16" s="42" t="inlineStr">
        <is>
          <t>MANI EKOUDI François M.</t>
        </is>
      </c>
      <c r="C16" s="44" t="n"/>
      <c r="D16" s="44" t="n">
        <v>15000</v>
      </c>
      <c r="E16" s="44" t="n">
        <v>300000</v>
      </c>
      <c r="F16" s="44" t="n">
        <v>3000</v>
      </c>
      <c r="G16" s="44" t="n"/>
      <c r="H16" s="44" t="n"/>
      <c r="I16" s="44" t="n"/>
      <c r="J16" s="69" t="n"/>
      <c r="K16" s="44" t="n"/>
      <c r="L16" s="44" t="n"/>
      <c r="M16" s="52">
        <f>+SUM(C16:L16)</f>
        <v/>
      </c>
    </row>
    <row r="17">
      <c r="A17" s="53" t="n"/>
      <c r="B17" s="54" t="inlineStr">
        <is>
          <t>MBA ENYOUGOU Bernard</t>
        </is>
      </c>
      <c r="C17" s="55" t="n"/>
      <c r="D17" s="44" t="n"/>
      <c r="E17" s="55" t="n">
        <v>150000</v>
      </c>
      <c r="F17" s="55" t="n">
        <v>3000</v>
      </c>
      <c r="G17" s="55" t="n"/>
      <c r="H17" s="55" t="n"/>
      <c r="I17" s="55" t="n"/>
      <c r="J17" s="69" t="n"/>
      <c r="K17" s="55" t="n"/>
      <c r="L17" s="55" t="n"/>
      <c r="M17" s="56">
        <f>+SUM(C17:L17)</f>
        <v/>
      </c>
    </row>
    <row r="18">
      <c r="A18" s="46" t="n"/>
      <c r="B18" s="42" t="inlineStr">
        <is>
          <t>MBADI Homer Paul</t>
        </is>
      </c>
      <c r="C18" s="44" t="n"/>
      <c r="D18" s="44" t="n"/>
      <c r="E18" s="44" t="n">
        <v>600000</v>
      </c>
      <c r="F18" s="44" t="n">
        <v>3000</v>
      </c>
      <c r="G18" s="44" t="n"/>
      <c r="H18" s="44" t="n">
        <v>300000</v>
      </c>
      <c r="I18" s="44" t="n"/>
      <c r="J18" s="69" t="n"/>
      <c r="K18" s="44" t="n"/>
      <c r="L18" s="44" t="n"/>
      <c r="M18" s="52">
        <f>+SUM(C18:L18)</f>
        <v/>
      </c>
    </row>
    <row r="19">
      <c r="A19" s="53" t="n"/>
      <c r="B19" s="54" t="inlineStr">
        <is>
          <t>MBAMBA NSOA Jean Paul</t>
        </is>
      </c>
      <c r="C19" s="55" t="n"/>
      <c r="D19" s="44" t="n"/>
      <c r="E19" s="55" t="n">
        <v>100000</v>
      </c>
      <c r="F19" s="55" t="n">
        <v>3000</v>
      </c>
      <c r="G19" s="55" t="n"/>
      <c r="H19" s="55" t="n"/>
      <c r="I19" s="55" t="n"/>
      <c r="J19" s="69" t="n"/>
      <c r="K19" s="55" t="n"/>
      <c r="L19" s="55" t="n"/>
      <c r="M19" s="56">
        <f>+SUM(C19:L19)</f>
        <v/>
      </c>
    </row>
    <row r="20">
      <c r="A20" s="46" t="n"/>
      <c r="B20" s="42" t="inlineStr">
        <is>
          <t>MENGUE François Xavier</t>
        </is>
      </c>
      <c r="C20" s="44" t="n"/>
      <c r="D20" s="44" t="n"/>
      <c r="E20" s="44" t="n">
        <v>350000</v>
      </c>
      <c r="F20" s="44" t="n">
        <v>3000</v>
      </c>
      <c r="G20" s="44" t="n"/>
      <c r="H20" s="44" t="n"/>
      <c r="I20" s="44" t="n"/>
      <c r="J20" s="69" t="n"/>
      <c r="K20" s="44" t="n"/>
      <c r="L20" s="44" t="n"/>
      <c r="M20" s="52">
        <f>+SUM(C20:L20)</f>
        <v/>
      </c>
    </row>
    <row r="21">
      <c r="A21" s="53" t="n"/>
      <c r="B21" s="54" t="inlineStr">
        <is>
          <t>MIENYE OBIA</t>
        </is>
      </c>
      <c r="C21" s="61" t="n"/>
      <c r="D21" s="44" t="n"/>
      <c r="E21" s="61" t="n">
        <v>200000</v>
      </c>
      <c r="F21" s="61" t="n">
        <v>3000</v>
      </c>
      <c r="G21" s="61" t="n"/>
      <c r="H21" s="61" t="n"/>
      <c r="I21" s="61" t="n"/>
      <c r="J21" s="70" t="n"/>
      <c r="K21" s="61" t="n"/>
      <c r="L21" s="61" t="n"/>
      <c r="M21" s="56">
        <f>+SUM(C21:L21)</f>
        <v/>
      </c>
    </row>
    <row r="22">
      <c r="A22" s="46" t="n"/>
      <c r="B22" s="42" t="inlineStr">
        <is>
          <t>MIONG RIGOBERT Dieudonné</t>
        </is>
      </c>
      <c r="C22" s="44" t="n"/>
      <c r="D22" s="44" t="n"/>
      <c r="E22" s="44" t="n">
        <v>300000</v>
      </c>
      <c r="F22" s="44" t="n">
        <v>3000</v>
      </c>
      <c r="G22" s="44" t="n">
        <v>6000</v>
      </c>
      <c r="H22" s="44" t="n"/>
      <c r="I22" s="44" t="n"/>
      <c r="J22" s="69" t="n"/>
      <c r="K22" s="44" t="n"/>
      <c r="L22" s="44" t="n"/>
      <c r="M22" s="52">
        <f>+SUM(C22:L22)</f>
        <v/>
      </c>
    </row>
    <row r="23">
      <c r="A23" s="53" t="n"/>
      <c r="B23" s="54" t="inlineStr">
        <is>
          <t>NDJOCK Thaddée Rodrigue</t>
        </is>
      </c>
      <c r="C23" s="55" t="n"/>
      <c r="D23" s="44" t="n"/>
      <c r="E23" s="55" t="n">
        <v>300000</v>
      </c>
      <c r="F23" s="55" t="n">
        <v>3000</v>
      </c>
      <c r="G23" s="55" t="n"/>
      <c r="H23" s="55" t="n"/>
      <c r="I23" s="55" t="n"/>
      <c r="J23" s="69" t="n"/>
      <c r="K23" s="55" t="n"/>
      <c r="L23" s="55" t="n"/>
      <c r="M23" s="56">
        <f>+SUM(C23:L23)</f>
        <v/>
      </c>
    </row>
    <row r="24">
      <c r="A24" s="63" t="n">
        <v>0</v>
      </c>
      <c r="B24" s="42" t="inlineStr">
        <is>
          <t>NKOLO NGAH Emmanuel</t>
        </is>
      </c>
      <c r="C24" s="44" t="n"/>
      <c r="D24" s="44" t="n"/>
      <c r="E24" s="44" t="n">
        <v>100000</v>
      </c>
      <c r="F24" s="44" t="n">
        <v>3000</v>
      </c>
      <c r="G24" s="44" t="n"/>
      <c r="H24" s="44" t="n"/>
      <c r="I24" s="44" t="n"/>
      <c r="J24" s="69" t="n"/>
      <c r="K24" s="44" t="n"/>
      <c r="L24" s="44" t="n"/>
      <c r="M24" s="52">
        <f>+SUM(C24:L24)</f>
        <v/>
      </c>
    </row>
    <row r="25">
      <c r="A25" s="53" t="n"/>
      <c r="B25" s="54" t="inlineStr">
        <is>
          <t>NOAH Patrick Michel Brice</t>
        </is>
      </c>
      <c r="C25" s="55" t="n"/>
      <c r="D25" s="44" t="n">
        <v>15000</v>
      </c>
      <c r="E25" s="55" t="n">
        <v>200000</v>
      </c>
      <c r="F25" s="55" t="n">
        <v>3000</v>
      </c>
      <c r="G25" s="55" t="n"/>
      <c r="H25" s="55" t="n">
        <v>400000</v>
      </c>
      <c r="I25" s="55" t="n"/>
      <c r="J25" s="69" t="n"/>
      <c r="K25" s="55" t="n"/>
      <c r="L25" s="55" t="n"/>
      <c r="M25" s="56">
        <f>+SUM(C25:L25)</f>
        <v/>
      </c>
    </row>
    <row r="26">
      <c r="A26" s="46" t="n"/>
      <c r="B26" s="42" t="inlineStr">
        <is>
          <t>NONBO Marc</t>
        </is>
      </c>
      <c r="C26" s="44" t="n"/>
      <c r="D26" s="44" t="n"/>
      <c r="E26" s="44" t="n">
        <v>100000</v>
      </c>
      <c r="F26" s="44" t="n">
        <v>3000</v>
      </c>
      <c r="G26" s="44" t="n"/>
      <c r="H26" s="44" t="n"/>
      <c r="I26" s="44" t="n"/>
      <c r="J26" s="69" t="n"/>
      <c r="K26" s="44" t="n"/>
      <c r="L26" s="44" t="n"/>
      <c r="M26" s="52">
        <f>+SUM(C26:L26)</f>
        <v/>
      </c>
    </row>
    <row r="27">
      <c r="A27" s="53" t="n"/>
      <c r="B27" s="54" t="inlineStr">
        <is>
          <t>NSOA MBONDO Pierre</t>
        </is>
      </c>
      <c r="C27" s="55" t="n"/>
      <c r="D27" s="62" t="n"/>
      <c r="E27" s="55" t="n">
        <v>300000</v>
      </c>
      <c r="F27" s="55" t="n">
        <v>3000</v>
      </c>
      <c r="G27" s="55" t="n"/>
      <c r="H27" s="55" t="n"/>
      <c r="I27" s="55" t="n"/>
      <c r="J27" s="69" t="n"/>
      <c r="K27" s="55" t="n"/>
      <c r="L27" s="55" t="n"/>
      <c r="M27" s="56">
        <f>+SUM(C27:L27)</f>
        <v/>
      </c>
    </row>
    <row r="28">
      <c r="A28" s="63" t="n"/>
      <c r="B28" s="42" t="inlineStr">
        <is>
          <t>NSOE NKOULI Jean-Baptiste</t>
        </is>
      </c>
      <c r="C28" s="44" t="n"/>
      <c r="D28" s="44" t="n"/>
      <c r="E28" s="44" t="n">
        <v>400000</v>
      </c>
      <c r="F28" s="44" t="n">
        <v>3000</v>
      </c>
      <c r="G28" s="44" t="n"/>
      <c r="H28" s="44" t="n"/>
      <c r="I28" s="44" t="n"/>
      <c r="J28" s="69" t="n"/>
      <c r="K28" s="44" t="n"/>
      <c r="L28" s="44" t="n"/>
      <c r="M28" s="52">
        <f>+SUM(C28:L28)</f>
        <v/>
      </c>
    </row>
    <row r="29">
      <c r="A29" s="53" t="n"/>
      <c r="B29" s="54" t="inlineStr">
        <is>
          <t>NYECK PONDI Etienne</t>
        </is>
      </c>
      <c r="C29" s="55" t="n"/>
      <c r="D29" s="44" t="n"/>
      <c r="E29" s="55" t="n">
        <v>300000</v>
      </c>
      <c r="F29" s="55" t="n">
        <v>3000</v>
      </c>
      <c r="G29" s="55" t="n">
        <v>50000</v>
      </c>
      <c r="H29" s="55" t="n"/>
      <c r="I29" s="55" t="n"/>
      <c r="J29" s="69" t="n"/>
      <c r="K29" s="55" t="n"/>
      <c r="L29" s="55" t="n"/>
      <c r="M29" s="56">
        <f>+SUM(C29:L29)</f>
        <v/>
      </c>
    </row>
    <row r="30">
      <c r="A30" s="46" t="n">
        <v>0</v>
      </c>
      <c r="B30" s="42" t="inlineStr">
        <is>
          <t>OMGBA FOUDA Simon Pierre</t>
        </is>
      </c>
      <c r="C30" s="44" t="n"/>
      <c r="D30" s="44" t="n"/>
      <c r="E30" s="44" t="n">
        <v>400000</v>
      </c>
      <c r="F30" s="44" t="n">
        <v>3000</v>
      </c>
      <c r="G30" s="44" t="n"/>
      <c r="H30" s="44" t="n"/>
      <c r="I30" s="44" t="n"/>
      <c r="J30" s="69" t="n"/>
      <c r="K30" s="44" t="n">
        <v>200000</v>
      </c>
      <c r="L30" s="44" t="n"/>
      <c r="M30" s="52">
        <f>+SUM(C30:L30)</f>
        <v/>
      </c>
    </row>
    <row r="31">
      <c r="A31" s="53" t="n"/>
      <c r="B31" s="54" t="inlineStr">
        <is>
          <t>OMGBA MIMBOE Gaetan</t>
        </is>
      </c>
      <c r="C31" s="55" t="n"/>
      <c r="D31" s="44" t="n">
        <v>15000</v>
      </c>
      <c r="E31" s="55" t="n">
        <v>300000</v>
      </c>
      <c r="F31" s="55" t="n">
        <v>3000</v>
      </c>
      <c r="G31" s="55" t="n"/>
      <c r="H31" s="55" t="n">
        <v>300000</v>
      </c>
      <c r="I31" s="55" t="n"/>
      <c r="J31" s="69" t="n"/>
      <c r="K31" s="55" t="n"/>
      <c r="L31" s="55" t="n"/>
      <c r="M31" s="56">
        <f>+SUM(C31:L31)</f>
        <v/>
      </c>
    </row>
    <row r="32">
      <c r="A32" s="46" t="n"/>
      <c r="B32" s="42" t="inlineStr">
        <is>
          <t>ONANA NKADA Laurent S.</t>
        </is>
      </c>
      <c r="C32" s="44" t="n"/>
      <c r="D32" s="44" t="n"/>
      <c r="E32" s="44" t="n">
        <v>100000</v>
      </c>
      <c r="F32" s="44" t="n">
        <v>3000</v>
      </c>
      <c r="G32" s="44" t="n">
        <v>4000</v>
      </c>
      <c r="H32" s="44" t="n">
        <v>3000</v>
      </c>
      <c r="I32" s="44" t="n">
        <v>100000</v>
      </c>
      <c r="J32" s="69" t="n"/>
      <c r="K32" s="44" t="n"/>
      <c r="L32" s="44" t="n"/>
      <c r="M32" s="52">
        <f>+SUM(C32:L32)</f>
        <v/>
      </c>
    </row>
    <row r="33">
      <c r="A33" s="53" t="n"/>
      <c r="B33" s="54" t="inlineStr">
        <is>
          <t>ONDOA Jean</t>
        </is>
      </c>
      <c r="C33" s="55" t="n"/>
      <c r="D33" s="44" t="n"/>
      <c r="E33" s="55" t="n">
        <v>300000</v>
      </c>
      <c r="F33" s="55" t="n">
        <v>3000</v>
      </c>
      <c r="G33" s="55" t="n"/>
      <c r="H33" s="55" t="n"/>
      <c r="I33" s="55" t="n"/>
      <c r="J33" s="69" t="n"/>
      <c r="K33" s="55" t="n"/>
      <c r="L33" s="55" t="n"/>
      <c r="M33" s="56">
        <f>+SUM(C33:L33)</f>
        <v/>
      </c>
    </row>
    <row r="34">
      <c r="A34" s="46" t="n">
        <v>0</v>
      </c>
      <c r="B34" s="42" t="inlineStr">
        <is>
          <t>TSANGA TSANGA Christol</t>
        </is>
      </c>
      <c r="C34" s="44" t="n"/>
      <c r="D34" s="44" t="n"/>
      <c r="E34" s="44" t="n">
        <v>100000</v>
      </c>
      <c r="F34" s="44" t="n">
        <v>3000</v>
      </c>
      <c r="G34" s="44" t="n"/>
      <c r="H34" s="44" t="n"/>
      <c r="I34" s="44" t="n"/>
      <c r="J34" s="69" t="n"/>
      <c r="K34" s="44" t="n"/>
      <c r="L34" s="44" t="n"/>
      <c r="M34" s="52">
        <f>+SUM(C34:L34)</f>
        <v/>
      </c>
    </row>
    <row r="35">
      <c r="A35" s="53" t="n">
        <v>0</v>
      </c>
      <c r="B35" s="59" t="inlineStr">
        <is>
          <t>ZE ANDJE Eric</t>
        </is>
      </c>
      <c r="C35" s="55" t="n"/>
      <c r="D35" s="44" t="n"/>
      <c r="E35" s="55" t="n">
        <v>200000</v>
      </c>
      <c r="F35" s="55" t="n">
        <v>3000</v>
      </c>
      <c r="G35" s="55" t="n"/>
      <c r="H35" s="55" t="n"/>
      <c r="I35" s="55" t="n"/>
      <c r="J35" s="69" t="n"/>
      <c r="K35" s="55" t="n"/>
      <c r="L35" s="55" t="n"/>
      <c r="M35" s="56">
        <f>+SUM(C35:L35)</f>
        <v/>
      </c>
    </row>
    <row r="36" ht="15.75" customHeight="1">
      <c r="A36" s="60" t="n"/>
      <c r="B36" s="71" t="inlineStr">
        <is>
          <t>TOTAL</t>
        </is>
      </c>
      <c r="C36" s="72">
        <f>+SUM(C2:C35)</f>
        <v/>
      </c>
      <c r="D36" s="72">
        <f>+SUM(D2:D35)</f>
        <v/>
      </c>
      <c r="E36" s="73">
        <f>+SUM(E2:E35)</f>
        <v/>
      </c>
      <c r="F36" s="73">
        <f>+SUM(F2:F35)</f>
        <v/>
      </c>
      <c r="G36" s="73">
        <f>+SUM(G2:G35)</f>
        <v/>
      </c>
      <c r="H36" s="73">
        <f>+SUM(H2:H35)</f>
        <v/>
      </c>
      <c r="I36" s="73">
        <f>+SUM(I2:I35)</f>
        <v/>
      </c>
      <c r="J36" s="74">
        <f>+SUM(J2:J35)</f>
        <v/>
      </c>
      <c r="K36" s="73">
        <f>+SUM(K2:K35)</f>
        <v/>
      </c>
      <c r="L36" s="73">
        <f>+SUM(L2:L35)</f>
        <v/>
      </c>
      <c r="M36" s="73">
        <f>+SUM(C36:J36)</f>
        <v/>
      </c>
    </row>
    <row r="38">
      <c r="A38" s="46" t="n"/>
      <c r="B38" s="75" t="inlineStr">
        <is>
          <t>Libellés</t>
        </is>
      </c>
      <c r="C38" s="76" t="inlineStr">
        <is>
          <t>RECETTES</t>
        </is>
      </c>
      <c r="D38" s="76" t="inlineStr">
        <is>
          <t>DEPENSES</t>
        </is>
      </c>
      <c r="E38" s="76" t="inlineStr">
        <is>
          <t>SOLDE</t>
        </is>
      </c>
    </row>
    <row r="39">
      <c r="A39" s="46" t="n">
        <v>1</v>
      </c>
      <c r="B39" s="46" t="inlineStr">
        <is>
          <t>Inscrip</t>
        </is>
      </c>
      <c r="C39" s="44">
        <f>C36</f>
        <v/>
      </c>
      <c r="D39" s="44" t="n"/>
      <c r="E39" s="44" t="n"/>
    </row>
    <row r="40">
      <c r="A40" s="46" t="n">
        <v>2</v>
      </c>
      <c r="B40" s="46" t="inlineStr">
        <is>
          <t>Secours</t>
        </is>
      </c>
      <c r="C40" s="44">
        <f>D36</f>
        <v/>
      </c>
      <c r="D40" s="44" t="n"/>
      <c r="E40" s="44" t="n"/>
    </row>
    <row r="41">
      <c r="A41" s="46" t="n">
        <v>3</v>
      </c>
      <c r="B41" s="46" t="inlineStr">
        <is>
          <t>Tontine</t>
        </is>
      </c>
      <c r="C41" s="44">
        <f>E36</f>
        <v/>
      </c>
      <c r="D41" s="44" t="n"/>
      <c r="E41" s="44" t="n"/>
    </row>
    <row r="42">
      <c r="A42" s="46" t="n">
        <v>4</v>
      </c>
      <c r="B42" s="46" t="inlineStr">
        <is>
          <t>Pot</t>
        </is>
      </c>
      <c r="C42" s="44">
        <f>F36</f>
        <v/>
      </c>
      <c r="D42" s="44" t="n"/>
      <c r="E42" s="44" t="n"/>
    </row>
    <row r="43">
      <c r="A43" s="46" t="n">
        <v>5</v>
      </c>
      <c r="B43" s="46" t="inlineStr">
        <is>
          <t>Remb &amp; Int</t>
        </is>
      </c>
      <c r="C43" s="44">
        <f>G36</f>
        <v/>
      </c>
      <c r="D43" s="44" t="n"/>
      <c r="E43" s="44" t="n"/>
    </row>
    <row r="44">
      <c r="A44" s="46" t="n">
        <v>6</v>
      </c>
      <c r="B44" s="46" t="inlineStr">
        <is>
          <t>Epargne</t>
        </is>
      </c>
      <c r="C44" s="44">
        <f>H36</f>
        <v/>
      </c>
      <c r="D44" s="44" t="n"/>
      <c r="E44" s="44" t="n"/>
    </row>
    <row r="45">
      <c r="A45" s="46" t="n">
        <v>7</v>
      </c>
      <c r="B45" s="46" t="inlineStr">
        <is>
          <t>Prêt</t>
        </is>
      </c>
      <c r="C45" s="44" t="n"/>
      <c r="D45" s="44">
        <f>I36</f>
        <v/>
      </c>
      <c r="E45" s="44" t="n"/>
    </row>
    <row r="46">
      <c r="A46" s="46" t="n">
        <v>8</v>
      </c>
      <c r="B46" s="46" t="inlineStr">
        <is>
          <t>Projet</t>
        </is>
      </c>
      <c r="C46" s="44">
        <f>K36</f>
        <v/>
      </c>
      <c r="D46" s="44" t="n"/>
      <c r="E46" s="44" t="n"/>
    </row>
    <row r="47">
      <c r="A47" s="46" t="n">
        <v>9</v>
      </c>
      <c r="B47" s="46" t="inlineStr">
        <is>
          <t>Autres</t>
        </is>
      </c>
      <c r="C47" s="44">
        <f>L36</f>
        <v/>
      </c>
      <c r="D47" s="44" t="n"/>
      <c r="E47" s="44" t="n"/>
    </row>
    <row r="48">
      <c r="A48" s="46" t="n"/>
      <c r="B48" s="46" t="inlineStr">
        <is>
          <t>TOTAL</t>
        </is>
      </c>
      <c r="C48" s="50">
        <f>SUM(C39:C47)</f>
        <v/>
      </c>
      <c r="D48" s="50">
        <f>SUM(D39:D47)</f>
        <v/>
      </c>
      <c r="E48" s="50">
        <f>SUM(E39:E47)</f>
        <v/>
      </c>
    </row>
    <row r="49">
      <c r="B49" s="46" t="inlineStr">
        <is>
          <t xml:space="preserve">Solde en caisse au </t>
        </is>
      </c>
      <c r="C49" s="77" t="n"/>
      <c r="D49" s="79" t="n"/>
      <c r="E49" s="80" t="n"/>
    </row>
    <row r="51">
      <c r="A51" s="46" t="n"/>
      <c r="B51" s="75" t="inlineStr">
        <is>
          <t>BENEFICIAIRES</t>
        </is>
      </c>
      <c r="C51" s="76" t="inlineStr">
        <is>
          <t>ENTREE</t>
        </is>
      </c>
      <c r="D51" s="79" t="n"/>
      <c r="E51" s="79" t="n"/>
      <c r="F51" s="80" t="n"/>
      <c r="G51" s="66" t="inlineStr">
        <is>
          <t>RETENUS</t>
        </is>
      </c>
      <c r="H51" s="66" t="n"/>
      <c r="I51" s="66" t="n"/>
      <c r="J51" s="64" t="n"/>
      <c r="K51" s="64" t="n"/>
      <c r="L51" s="64" t="inlineStr">
        <is>
          <t>NAP</t>
        </is>
      </c>
    </row>
    <row r="52">
      <c r="A52" s="46" t="n"/>
      <c r="B52" s="81" t="n"/>
      <c r="C52" s="75" t="inlineStr">
        <is>
          <t>Tontine</t>
        </is>
      </c>
      <c r="D52" s="75" t="inlineStr">
        <is>
          <t>Pot</t>
        </is>
      </c>
      <c r="E52" s="75" t="inlineStr">
        <is>
          <t>Eparg_Int</t>
        </is>
      </c>
      <c r="F52" s="75" t="inlineStr">
        <is>
          <t>S_Tot</t>
        </is>
      </c>
      <c r="G52" s="65" t="inlineStr">
        <is>
          <t>SEC</t>
        </is>
      </c>
      <c r="H52" s="75" t="inlineStr">
        <is>
          <t>Dette_Int</t>
        </is>
      </c>
      <c r="I52" s="75" t="inlineStr">
        <is>
          <t>Projet</t>
        </is>
      </c>
      <c r="J52" s="75" t="inlineStr">
        <is>
          <t>Eparg_Int</t>
        </is>
      </c>
      <c r="K52" s="75" t="inlineStr">
        <is>
          <t>S_Tot</t>
        </is>
      </c>
      <c r="L52" s="64" t="n"/>
    </row>
    <row r="53">
      <c r="A53" s="46" t="n"/>
      <c r="B53" s="51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55" t="n"/>
    </row>
    <row r="54">
      <c r="A54" s="53" t="n">
        <v>1</v>
      </c>
      <c r="B54" s="53" t="inlineStr">
        <is>
          <t>NOAH Patrick Michel Brice</t>
        </is>
      </c>
      <c r="C54" s="55" t="n">
        <v>2400000</v>
      </c>
      <c r="D54" s="55" t="n"/>
      <c r="E54" s="55" t="n"/>
      <c r="F54" s="55">
        <f>SUM(C54:E54)</f>
        <v/>
      </c>
      <c r="G54" s="44" t="n">
        <v>15000</v>
      </c>
      <c r="H54" s="44" t="n">
        <v>200000</v>
      </c>
      <c r="I54" s="55" t="inlineStr">
        <is>
          <t>H</t>
        </is>
      </c>
      <c r="J54" s="55" t="n">
        <v>400000</v>
      </c>
      <c r="K54" s="55">
        <f>SUM(G54:J54)</f>
        <v/>
      </c>
      <c r="L54" s="55">
        <f>F54-K54</f>
        <v/>
      </c>
    </row>
    <row r="55">
      <c r="A55" s="46" t="n"/>
      <c r="B55" s="46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55">
        <f>SUM(G55:J55)</f>
        <v/>
      </c>
      <c r="L55" s="55" t="n"/>
    </row>
    <row r="56">
      <c r="A56" s="53" t="n">
        <v>2</v>
      </c>
      <c r="B56" s="53" t="inlineStr">
        <is>
          <t>MANI EKOUDI François M.</t>
        </is>
      </c>
      <c r="C56" s="55" t="n">
        <v>3600000</v>
      </c>
      <c r="D56" s="55" t="n">
        <v>96000</v>
      </c>
      <c r="E56" s="55" t="n"/>
      <c r="F56" s="55">
        <f>SUM(C56:E56)</f>
        <v/>
      </c>
      <c r="G56" s="55" t="n">
        <v>15000</v>
      </c>
      <c r="H56" s="55" t="n">
        <v>402350</v>
      </c>
      <c r="I56" s="55" t="n">
        <v>200000</v>
      </c>
      <c r="J56" s="55" t="n"/>
      <c r="K56" s="55">
        <f>SUM(G56:J56)</f>
        <v/>
      </c>
      <c r="L56" s="55">
        <f>F56-K56</f>
        <v/>
      </c>
    </row>
    <row r="57">
      <c r="A57" s="46" t="n"/>
      <c r="B57" s="46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55">
        <f>SUM(G57:J57)</f>
        <v/>
      </c>
      <c r="L57" s="55" t="n"/>
    </row>
    <row r="58">
      <c r="A58" s="53" t="n"/>
      <c r="B58" s="54" t="inlineStr">
        <is>
          <t>OMGBA MIMBOE Gaetan</t>
        </is>
      </c>
      <c r="C58" s="55" t="n">
        <v>3600000</v>
      </c>
      <c r="D58" s="55" t="n"/>
      <c r="E58" s="55" t="n"/>
      <c r="F58" s="55">
        <f>SUM(C58:E58)</f>
        <v/>
      </c>
      <c r="G58" s="55" t="n">
        <v>15000</v>
      </c>
      <c r="H58" s="55" t="n">
        <v>300000</v>
      </c>
      <c r="I58" s="62" t="n">
        <v>1200000</v>
      </c>
      <c r="J58" s="62" t="n">
        <v>300000</v>
      </c>
      <c r="K58" s="55">
        <f>SUM(G58:J58)</f>
        <v/>
      </c>
      <c r="L58" s="55">
        <f>F58-K58</f>
        <v/>
      </c>
    </row>
    <row r="59">
      <c r="A59" s="46" t="n"/>
      <c r="B59" s="48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55">
        <f>SUM(G59:J59)</f>
        <v/>
      </c>
      <c r="L59" s="55" t="n"/>
    </row>
    <row r="60">
      <c r="A60" s="46" t="n"/>
      <c r="B60" s="46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55">
        <f>SUM(G60:J60)</f>
        <v/>
      </c>
      <c r="L60" s="55" t="n"/>
    </row>
  </sheetData>
  <mergeCells count="3">
    <mergeCell ref="C49:E49"/>
    <mergeCell ref="B51:B52"/>
    <mergeCell ref="C51:F5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Pierre NSOA MBONDO</dc:creator>
  <dcterms:created xmlns:dcterms="http://purl.org/dc/terms/" xmlns:xsi="http://www.w3.org/2001/XMLSchema-instance" xsi:type="dcterms:W3CDTF">2014-04-28T12:21:58Z</dcterms:created>
  <dcterms:modified xmlns:dcterms="http://purl.org/dc/terms/" xmlns:xsi="http://www.w3.org/2001/XMLSchema-instance" xsi:type="dcterms:W3CDTF">2026-06-12T00:48:39Z</dcterms:modified>
  <cp:lastModifiedBy>DELL</cp:lastModifiedBy>
</cp:coreProperties>
</file>