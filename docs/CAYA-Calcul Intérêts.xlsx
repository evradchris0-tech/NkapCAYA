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NM\2025 - EXPERTISE-APPUI TECH\CAYA 2025\"/>
    </mc:Choice>
  </mc:AlternateContent>
  <xr:revisionPtr revIDLastSave="0" documentId="13_ncr:1_{26351F8D-5991-4BEF-9276-F719D739037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ep+int" sheetId="1" r:id="rId1"/>
    <sheet name="insc+sec" sheetId="2" r:id="rId2"/>
    <sheet name="ep+int (2)" sheetId="15" r:id="rId3"/>
    <sheet name="prets" sheetId="4" r:id="rId4"/>
    <sheet name="Rem25" sheetId="12" r:id="rId5"/>
    <sheet name="intérêts25" sheetId="14" r:id="rId6"/>
    <sheet name="prets25" sheetId="13" r:id="rId7"/>
    <sheet name="intérêts" sheetId="5" r:id="rId8"/>
    <sheet name="tontine" sheetId="3" r:id="rId9"/>
    <sheet name="Feuil1" sheetId="10" r:id="rId10"/>
    <sheet name="IntNet" sheetId="7" r:id="rId11"/>
    <sheet name="PretsNet" sheetId="8" r:id="rId12"/>
  </sheets>
  <calcPr calcId="181029"/>
</workbook>
</file>

<file path=xl/calcChain.xml><?xml version="1.0" encoding="utf-8"?>
<calcChain xmlns="http://schemas.openxmlformats.org/spreadsheetml/2006/main">
  <c r="N34" i="14" l="1"/>
  <c r="N39" i="14" s="1"/>
  <c r="B36" i="14"/>
  <c r="C36" i="14"/>
  <c r="D36" i="14"/>
  <c r="E36" i="14"/>
  <c r="F36" i="14"/>
  <c r="G36" i="14"/>
  <c r="H36" i="14"/>
  <c r="I36" i="14"/>
  <c r="J36" i="14"/>
  <c r="K36" i="14"/>
  <c r="L36" i="14"/>
  <c r="N36" i="14"/>
  <c r="M36" i="14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AH37" i="15" l="1"/>
  <c r="AE37" i="15"/>
  <c r="AB37" i="15"/>
  <c r="Y37" i="15"/>
  <c r="V37" i="15"/>
  <c r="S37" i="15"/>
  <c r="P37" i="15"/>
  <c r="M37" i="15"/>
  <c r="J37" i="15"/>
  <c r="G37" i="15"/>
  <c r="D37" i="15"/>
  <c r="B37" i="15"/>
  <c r="B40" i="15" s="1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8" i="15"/>
  <c r="AK7" i="15"/>
  <c r="AK6" i="15"/>
  <c r="AK5" i="15"/>
  <c r="AK4" i="15"/>
  <c r="AK3" i="15"/>
  <c r="AK2" i="1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D2" i="5"/>
  <c r="E2" i="5"/>
  <c r="F2" i="5"/>
  <c r="G2" i="5"/>
  <c r="H2" i="5"/>
  <c r="I2" i="5"/>
  <c r="J2" i="5"/>
  <c r="K2" i="5"/>
  <c r="L2" i="5"/>
  <c r="M2" i="5"/>
  <c r="C2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" i="5"/>
  <c r="B4" i="5"/>
  <c r="B5" i="5"/>
  <c r="B6" i="5"/>
  <c r="B2" i="5"/>
  <c r="M33" i="14"/>
  <c r="L33" i="14"/>
  <c r="K33" i="14"/>
  <c r="J33" i="14"/>
  <c r="I33" i="14"/>
  <c r="H33" i="14"/>
  <c r="G33" i="14"/>
  <c r="F33" i="14"/>
  <c r="E33" i="14"/>
  <c r="D33" i="14"/>
  <c r="C33" i="14"/>
  <c r="B33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M9" i="14"/>
  <c r="L9" i="14"/>
  <c r="K9" i="14"/>
  <c r="J9" i="14"/>
  <c r="I9" i="14"/>
  <c r="H9" i="14"/>
  <c r="G9" i="14"/>
  <c r="F9" i="14"/>
  <c r="E9" i="14"/>
  <c r="D9" i="14"/>
  <c r="C9" i="14"/>
  <c r="B9" i="14"/>
  <c r="M8" i="14"/>
  <c r="L8" i="14"/>
  <c r="K8" i="14"/>
  <c r="J8" i="14"/>
  <c r="I8" i="14"/>
  <c r="H8" i="14"/>
  <c r="G8" i="14"/>
  <c r="F8" i="14"/>
  <c r="E8" i="14"/>
  <c r="D8" i="14"/>
  <c r="C8" i="14"/>
  <c r="B8" i="14"/>
  <c r="M7" i="14"/>
  <c r="L7" i="14"/>
  <c r="K7" i="14"/>
  <c r="J7" i="14"/>
  <c r="I7" i="14"/>
  <c r="H7" i="14"/>
  <c r="G7" i="14"/>
  <c r="F7" i="14"/>
  <c r="E7" i="14"/>
  <c r="D7" i="14"/>
  <c r="C7" i="14"/>
  <c r="B7" i="14"/>
  <c r="M6" i="14"/>
  <c r="L6" i="14"/>
  <c r="K6" i="14"/>
  <c r="J6" i="14"/>
  <c r="I6" i="14"/>
  <c r="H6" i="14"/>
  <c r="G6" i="14"/>
  <c r="F6" i="14"/>
  <c r="E6" i="14"/>
  <c r="D6" i="14"/>
  <c r="C6" i="14"/>
  <c r="B6" i="14"/>
  <c r="M5" i="14"/>
  <c r="L5" i="14"/>
  <c r="K5" i="14"/>
  <c r="J5" i="14"/>
  <c r="I5" i="14"/>
  <c r="H5" i="14"/>
  <c r="G5" i="14"/>
  <c r="F5" i="14"/>
  <c r="E5" i="14"/>
  <c r="D5" i="14"/>
  <c r="C5" i="14"/>
  <c r="B5" i="14"/>
  <c r="M4" i="14"/>
  <c r="L4" i="14"/>
  <c r="K4" i="14"/>
  <c r="J4" i="14"/>
  <c r="I4" i="14"/>
  <c r="H4" i="14"/>
  <c r="G4" i="14"/>
  <c r="F4" i="14"/>
  <c r="E4" i="14"/>
  <c r="D4" i="14"/>
  <c r="C4" i="14"/>
  <c r="B4" i="14"/>
  <c r="M3" i="14"/>
  <c r="L3" i="14"/>
  <c r="K3" i="14"/>
  <c r="J3" i="14"/>
  <c r="I3" i="14"/>
  <c r="H3" i="14"/>
  <c r="G3" i="14"/>
  <c r="F3" i="14"/>
  <c r="E3" i="14"/>
  <c r="D3" i="14"/>
  <c r="C3" i="14"/>
  <c r="B3" i="14"/>
  <c r="M2" i="14"/>
  <c r="L2" i="14"/>
  <c r="K2" i="14"/>
  <c r="J2" i="14"/>
  <c r="I2" i="14"/>
  <c r="H2" i="14"/>
  <c r="G2" i="14"/>
  <c r="F2" i="14"/>
  <c r="E2" i="14"/>
  <c r="D2" i="14"/>
  <c r="C2" i="14"/>
  <c r="B2" i="14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2" i="1"/>
  <c r="N3" i="14" l="1"/>
  <c r="N6" i="14"/>
  <c r="N7" i="14"/>
  <c r="N8" i="14"/>
  <c r="N9" i="14"/>
  <c r="N10" i="14"/>
  <c r="N11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5" i="14"/>
  <c r="N4" i="14"/>
  <c r="C3" i="15"/>
  <c r="E3" i="15" s="1"/>
  <c r="C7" i="15"/>
  <c r="E7" i="15" s="1"/>
  <c r="C11" i="15"/>
  <c r="E11" i="15" s="1"/>
  <c r="C15" i="15"/>
  <c r="E15" i="15" s="1"/>
  <c r="C19" i="15"/>
  <c r="E19" i="15" s="1"/>
  <c r="C23" i="15"/>
  <c r="E23" i="15" s="1"/>
  <c r="C27" i="15"/>
  <c r="E27" i="15" s="1"/>
  <c r="C31" i="15"/>
  <c r="E31" i="15" s="1"/>
  <c r="C35" i="15"/>
  <c r="E35" i="15" s="1"/>
  <c r="C4" i="15"/>
  <c r="E4" i="15" s="1"/>
  <c r="C8" i="15"/>
  <c r="E8" i="15" s="1"/>
  <c r="C12" i="15"/>
  <c r="E12" i="15" s="1"/>
  <c r="C16" i="15"/>
  <c r="E16" i="15" s="1"/>
  <c r="C20" i="15"/>
  <c r="E20" i="15" s="1"/>
  <c r="C24" i="15"/>
  <c r="E24" i="15" s="1"/>
  <c r="C28" i="15"/>
  <c r="E28" i="15" s="1"/>
  <c r="C32" i="15"/>
  <c r="E32" i="15" s="1"/>
  <c r="C36" i="15"/>
  <c r="E36" i="15" s="1"/>
  <c r="C5" i="15"/>
  <c r="E5" i="15" s="1"/>
  <c r="C9" i="15"/>
  <c r="E9" i="15" s="1"/>
  <c r="C13" i="15"/>
  <c r="E13" i="15" s="1"/>
  <c r="C17" i="15"/>
  <c r="E17" i="15" s="1"/>
  <c r="C21" i="15"/>
  <c r="E21" i="15" s="1"/>
  <c r="C25" i="15"/>
  <c r="E25" i="15" s="1"/>
  <c r="C29" i="15"/>
  <c r="E29" i="15" s="1"/>
  <c r="C33" i="15"/>
  <c r="E33" i="15" s="1"/>
  <c r="C37" i="15"/>
  <c r="E37" i="15" s="1"/>
  <c r="F37" i="15" s="1"/>
  <c r="C10" i="15"/>
  <c r="E10" i="15" s="1"/>
  <c r="C26" i="15"/>
  <c r="E26" i="15" s="1"/>
  <c r="C14" i="15"/>
  <c r="E14" i="15" s="1"/>
  <c r="C30" i="15"/>
  <c r="E30" i="15" s="1"/>
  <c r="C6" i="15"/>
  <c r="E6" i="15" s="1"/>
  <c r="C2" i="15"/>
  <c r="E2" i="15" s="1"/>
  <c r="C18" i="15"/>
  <c r="E18" i="15" s="1"/>
  <c r="C34" i="15"/>
  <c r="E34" i="15" s="1"/>
  <c r="C22" i="15"/>
  <c r="E22" i="15" s="1"/>
  <c r="N13" i="14"/>
  <c r="AK37" i="15"/>
  <c r="AK37" i="1"/>
  <c r="N2" i="14"/>
  <c r="F34" i="15" l="1"/>
  <c r="F10" i="15"/>
  <c r="F29" i="15"/>
  <c r="H29" i="15" s="1"/>
  <c r="F13" i="15"/>
  <c r="H13" i="15" s="1"/>
  <c r="F20" i="15"/>
  <c r="H20" i="15" s="1"/>
  <c r="F4" i="15"/>
  <c r="F31" i="15"/>
  <c r="H31" i="15" s="1"/>
  <c r="F15" i="15"/>
  <c r="H15" i="15" s="1"/>
  <c r="F33" i="15"/>
  <c r="H33" i="15" s="1"/>
  <c r="F36" i="15"/>
  <c r="F32" i="15"/>
  <c r="H32" i="15" s="1"/>
  <c r="F22" i="15"/>
  <c r="H22" i="15" s="1"/>
  <c r="F6" i="15"/>
  <c r="H6" i="15" s="1"/>
  <c r="F30" i="15"/>
  <c r="F14" i="15"/>
  <c r="H14" i="15" s="1"/>
  <c r="F21" i="15"/>
  <c r="H21" i="15" s="1"/>
  <c r="F5" i="15"/>
  <c r="H5" i="15" s="1"/>
  <c r="F12" i="15"/>
  <c r="F23" i="15"/>
  <c r="H23" i="15" s="1"/>
  <c r="F7" i="15"/>
  <c r="H7" i="15" s="1"/>
  <c r="F25" i="15"/>
  <c r="H25" i="15" s="1"/>
  <c r="F9" i="15"/>
  <c r="H9" i="15" s="1"/>
  <c r="F16" i="15"/>
  <c r="H16" i="15" s="1"/>
  <c r="F27" i="15"/>
  <c r="H27" i="15" s="1"/>
  <c r="F11" i="15"/>
  <c r="H11" i="15" s="1"/>
  <c r="F28" i="15"/>
  <c r="H28" i="15" s="1"/>
  <c r="F2" i="15"/>
  <c r="H2" i="15" s="1"/>
  <c r="F18" i="15"/>
  <c r="F35" i="15"/>
  <c r="H35" i="15" s="1"/>
  <c r="F26" i="15"/>
  <c r="H26" i="15" s="1"/>
  <c r="F17" i="15"/>
  <c r="H17" i="15" s="1"/>
  <c r="F24" i="15"/>
  <c r="H24" i="15" s="1"/>
  <c r="F8" i="15"/>
  <c r="H8" i="15" s="1"/>
  <c r="F19" i="15"/>
  <c r="H19" i="15" s="1"/>
  <c r="F3" i="15"/>
  <c r="H3" i="15" s="1"/>
  <c r="H18" i="15"/>
  <c r="H12" i="15"/>
  <c r="H10" i="15"/>
  <c r="H30" i="15"/>
  <c r="H4" i="15"/>
  <c r="H37" i="15"/>
  <c r="I37" i="15" s="1"/>
  <c r="H36" i="15"/>
  <c r="H34" i="15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5" i="12"/>
  <c r="Q26" i="12"/>
  <c r="Q27" i="12"/>
  <c r="Q28" i="12"/>
  <c r="Q29" i="12"/>
  <c r="Q30" i="12"/>
  <c r="Q31" i="12"/>
  <c r="Q32" i="12"/>
  <c r="Q33" i="12"/>
  <c r="Q2" i="12"/>
  <c r="O34" i="12"/>
  <c r="P34" i="12"/>
  <c r="N3" i="4"/>
  <c r="N4" i="4"/>
  <c r="N5" i="4"/>
  <c r="N6" i="4"/>
  <c r="N7" i="4"/>
  <c r="N8" i="4"/>
  <c r="N9" i="4"/>
  <c r="N10" i="4"/>
  <c r="N11" i="4"/>
  <c r="N12" i="4"/>
  <c r="N13" i="4"/>
  <c r="N34" i="4" s="1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2" i="4"/>
  <c r="F39" i="13"/>
  <c r="R34" i="13"/>
  <c r="O34" i="13"/>
  <c r="M34" i="13"/>
  <c r="M36" i="13" s="1"/>
  <c r="L34" i="13"/>
  <c r="L36" i="13" s="1"/>
  <c r="K34" i="13"/>
  <c r="K36" i="13" s="1"/>
  <c r="J34" i="13"/>
  <c r="J36" i="13" s="1"/>
  <c r="I34" i="13"/>
  <c r="I36" i="13" s="1"/>
  <c r="H34" i="13"/>
  <c r="H36" i="13" s="1"/>
  <c r="G34" i="13"/>
  <c r="G36" i="13" s="1"/>
  <c r="F34" i="13"/>
  <c r="F36" i="13" s="1"/>
  <c r="E34" i="13"/>
  <c r="E36" i="13" s="1"/>
  <c r="D34" i="13"/>
  <c r="D36" i="13" s="1"/>
  <c r="C34" i="13"/>
  <c r="C36" i="13" s="1"/>
  <c r="B34" i="13"/>
  <c r="B36" i="13" s="1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39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N33" i="12"/>
  <c r="N32" i="12"/>
  <c r="N31" i="12"/>
  <c r="N30" i="12"/>
  <c r="N29" i="12"/>
  <c r="N28" i="12"/>
  <c r="N27" i="12"/>
  <c r="N26" i="12"/>
  <c r="N25" i="12"/>
  <c r="N24" i="12"/>
  <c r="Q24" i="12" s="1"/>
  <c r="Q34" i="12" s="1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I36" i="15" l="1"/>
  <c r="I17" i="15"/>
  <c r="I2" i="15"/>
  <c r="I30" i="15"/>
  <c r="K30" i="15" s="1"/>
  <c r="I33" i="15"/>
  <c r="I28" i="15"/>
  <c r="AN3" i="1"/>
  <c r="AN7" i="1"/>
  <c r="AN11" i="1"/>
  <c r="AN15" i="1"/>
  <c r="AN19" i="1"/>
  <c r="AN23" i="1"/>
  <c r="AN27" i="1"/>
  <c r="AN31" i="1"/>
  <c r="AN35" i="1"/>
  <c r="AN6" i="1"/>
  <c r="AN14" i="1"/>
  <c r="AN22" i="1"/>
  <c r="AN30" i="1"/>
  <c r="AN4" i="1"/>
  <c r="AN8" i="1"/>
  <c r="AN12" i="1"/>
  <c r="AN16" i="1"/>
  <c r="AN20" i="1"/>
  <c r="AN24" i="1"/>
  <c r="AN28" i="1"/>
  <c r="AN32" i="1"/>
  <c r="AN36" i="1"/>
  <c r="AN2" i="1"/>
  <c r="AN10" i="1"/>
  <c r="AN18" i="1"/>
  <c r="AN26" i="1"/>
  <c r="AN34" i="1"/>
  <c r="AN5" i="1"/>
  <c r="AN9" i="1"/>
  <c r="AN13" i="1"/>
  <c r="AN17" i="1"/>
  <c r="AN21" i="1"/>
  <c r="AN25" i="1"/>
  <c r="AN29" i="1"/>
  <c r="AN33" i="1"/>
  <c r="AN37" i="1"/>
  <c r="I23" i="15"/>
  <c r="K23" i="15" s="1"/>
  <c r="I14" i="15"/>
  <c r="K14" i="15" s="1"/>
  <c r="I15" i="15"/>
  <c r="K15" i="15" s="1"/>
  <c r="I5" i="15"/>
  <c r="K5" i="15" s="1"/>
  <c r="I12" i="15"/>
  <c r="K12" i="15" s="1"/>
  <c r="I20" i="15"/>
  <c r="K20" i="15" s="1"/>
  <c r="I19" i="15"/>
  <c r="I11" i="15"/>
  <c r="K11" i="15" s="1"/>
  <c r="I16" i="15"/>
  <c r="K16" i="15" s="1"/>
  <c r="I25" i="15"/>
  <c r="K25" i="15" s="1"/>
  <c r="I6" i="15"/>
  <c r="K6" i="15" s="1"/>
  <c r="I29" i="15"/>
  <c r="K29" i="15" s="1"/>
  <c r="I3" i="15"/>
  <c r="K3" i="15" s="1"/>
  <c r="I8" i="15"/>
  <c r="K8" i="15" s="1"/>
  <c r="I26" i="15"/>
  <c r="K26" i="15" s="1"/>
  <c r="I34" i="15"/>
  <c r="K34" i="15" s="1"/>
  <c r="I35" i="15"/>
  <c r="K35" i="15" s="1"/>
  <c r="I24" i="15"/>
  <c r="K24" i="15" s="1"/>
  <c r="I27" i="15"/>
  <c r="K27" i="15" s="1"/>
  <c r="I22" i="15"/>
  <c r="K22" i="15" s="1"/>
  <c r="I32" i="15"/>
  <c r="K32" i="15" s="1"/>
  <c r="I21" i="15"/>
  <c r="K21" i="15" s="1"/>
  <c r="I18" i="15"/>
  <c r="I31" i="15"/>
  <c r="K31" i="15" s="1"/>
  <c r="I4" i="15"/>
  <c r="K4" i="15" s="1"/>
  <c r="I7" i="15"/>
  <c r="K7" i="15" s="1"/>
  <c r="I10" i="15"/>
  <c r="K10" i="15" s="1"/>
  <c r="I9" i="15"/>
  <c r="K9" i="15" s="1"/>
  <c r="I13" i="15"/>
  <c r="K13" i="15" s="1"/>
  <c r="K2" i="15"/>
  <c r="K36" i="15"/>
  <c r="K33" i="15"/>
  <c r="K17" i="15"/>
  <c r="K19" i="15"/>
  <c r="K37" i="15"/>
  <c r="L37" i="15" s="1"/>
  <c r="K28" i="15"/>
  <c r="K18" i="15"/>
  <c r="O35" i="13"/>
  <c r="N34" i="13"/>
  <c r="N34" i="12"/>
  <c r="L10" i="15" l="1"/>
  <c r="L32" i="15"/>
  <c r="L27" i="15"/>
  <c r="N27" i="15" s="1"/>
  <c r="L9" i="15"/>
  <c r="N9" i="15" s="1"/>
  <c r="L21" i="15"/>
  <c r="L34" i="15"/>
  <c r="N34" i="15" s="1"/>
  <c r="L7" i="15"/>
  <c r="N7" i="15" s="1"/>
  <c r="L22" i="15"/>
  <c r="N22" i="15" s="1"/>
  <c r="L4" i="15"/>
  <c r="N4" i="15" s="1"/>
  <c r="L2" i="15"/>
  <c r="N2" i="15" s="1"/>
  <c r="L30" i="15"/>
  <c r="N30" i="15" s="1"/>
  <c r="L14" i="15"/>
  <c r="N14" i="15" s="1"/>
  <c r="L29" i="15"/>
  <c r="N29" i="15" s="1"/>
  <c r="L3" i="15"/>
  <c r="N3" i="15" s="1"/>
  <c r="L12" i="15"/>
  <c r="N12" i="15" s="1"/>
  <c r="L23" i="15"/>
  <c r="N23" i="15" s="1"/>
  <c r="L13" i="15"/>
  <c r="N13" i="15" s="1"/>
  <c r="L6" i="15"/>
  <c r="N6" i="15" s="1"/>
  <c r="L33" i="15"/>
  <c r="N33" i="15" s="1"/>
  <c r="L17" i="15"/>
  <c r="N17" i="15" s="1"/>
  <c r="L15" i="15"/>
  <c r="N15" i="15" s="1"/>
  <c r="L28" i="15"/>
  <c r="N28" i="15" s="1"/>
  <c r="L25" i="15"/>
  <c r="N25" i="15" s="1"/>
  <c r="L31" i="15"/>
  <c r="N31" i="15" s="1"/>
  <c r="L24" i="15"/>
  <c r="N24" i="15" s="1"/>
  <c r="L18" i="15"/>
  <c r="N18" i="15" s="1"/>
  <c r="L20" i="15"/>
  <c r="N20" i="15" s="1"/>
  <c r="L16" i="15"/>
  <c r="N16" i="15" s="1"/>
  <c r="L26" i="15"/>
  <c r="N26" i="15" s="1"/>
  <c r="L35" i="15"/>
  <c r="N35" i="15" s="1"/>
  <c r="L5" i="15"/>
  <c r="N5" i="15" s="1"/>
  <c r="L8" i="15"/>
  <c r="N8" i="15" s="1"/>
  <c r="L19" i="15"/>
  <c r="N19" i="15" s="1"/>
  <c r="L11" i="15"/>
  <c r="N11" i="15" s="1"/>
  <c r="L36" i="15"/>
  <c r="N36" i="15" s="1"/>
  <c r="N21" i="15"/>
  <c r="N37" i="15"/>
  <c r="O37" i="15" s="1"/>
  <c r="N10" i="15"/>
  <c r="N32" i="15"/>
  <c r="O35" i="4"/>
  <c r="P34" i="4"/>
  <c r="O34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B34" i="5"/>
  <c r="C35" i="7"/>
  <c r="E35" i="7"/>
  <c r="F35" i="7"/>
  <c r="H35" i="7"/>
  <c r="I35" i="7"/>
  <c r="L35" i="7"/>
  <c r="AA35" i="7"/>
  <c r="AL35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6" i="7"/>
  <c r="B5" i="7"/>
  <c r="B4" i="7"/>
  <c r="F33" i="7"/>
  <c r="F32" i="7"/>
  <c r="F31" i="7"/>
  <c r="F30" i="7"/>
  <c r="F29" i="7"/>
  <c r="F28" i="7"/>
  <c r="F27" i="7"/>
  <c r="E32" i="7"/>
  <c r="E33" i="7"/>
  <c r="C16" i="7"/>
  <c r="C17" i="7"/>
  <c r="C18" i="7"/>
  <c r="C19" i="7"/>
  <c r="C20" i="7"/>
  <c r="C21" i="7"/>
  <c r="C22" i="7"/>
  <c r="C23" i="7"/>
  <c r="E16" i="7"/>
  <c r="E17" i="7"/>
  <c r="E18" i="7"/>
  <c r="E19" i="7"/>
  <c r="E20" i="7"/>
  <c r="E21" i="7"/>
  <c r="E22" i="7"/>
  <c r="E23" i="7"/>
  <c r="H16" i="7"/>
  <c r="G16" i="7" s="1"/>
  <c r="H17" i="7"/>
  <c r="G17" i="7" s="1"/>
  <c r="H18" i="7"/>
  <c r="H19" i="7"/>
  <c r="G19" i="7" s="1"/>
  <c r="H20" i="7"/>
  <c r="G20" i="7" s="1"/>
  <c r="H21" i="7"/>
  <c r="G21" i="7" s="1"/>
  <c r="H22" i="7"/>
  <c r="H23" i="7"/>
  <c r="G23" i="7" s="1"/>
  <c r="J16" i="7"/>
  <c r="K16" i="7" s="1"/>
  <c r="M16" i="7" s="1"/>
  <c r="N16" i="7" s="1"/>
  <c r="P16" i="7" s="1"/>
  <c r="Q16" i="7" s="1"/>
  <c r="S16" i="7" s="1"/>
  <c r="T16" i="7" s="1"/>
  <c r="V16" i="7" s="1"/>
  <c r="W16" i="7" s="1"/>
  <c r="Y16" i="7" s="1"/>
  <c r="Z16" i="7" s="1"/>
  <c r="AL16" i="7"/>
  <c r="AL17" i="7"/>
  <c r="AL18" i="7"/>
  <c r="AL19" i="7"/>
  <c r="AL20" i="7"/>
  <c r="AL21" i="7"/>
  <c r="AL22" i="7"/>
  <c r="AL23" i="7"/>
  <c r="C15" i="7"/>
  <c r="C24" i="7"/>
  <c r="C25" i="7"/>
  <c r="C26" i="7"/>
  <c r="C27" i="7"/>
  <c r="C28" i="7"/>
  <c r="C29" i="7"/>
  <c r="C30" i="7"/>
  <c r="C31" i="7"/>
  <c r="E15" i="7"/>
  <c r="E24" i="7"/>
  <c r="E25" i="7"/>
  <c r="E26" i="7"/>
  <c r="E27" i="7"/>
  <c r="E28" i="7"/>
  <c r="E29" i="7"/>
  <c r="E30" i="7"/>
  <c r="E31" i="7"/>
  <c r="H15" i="7"/>
  <c r="H24" i="7"/>
  <c r="J24" i="7" s="1"/>
  <c r="K24" i="7" s="1"/>
  <c r="M24" i="7" s="1"/>
  <c r="N24" i="7" s="1"/>
  <c r="P24" i="7" s="1"/>
  <c r="Q24" i="7" s="1"/>
  <c r="S24" i="7" s="1"/>
  <c r="T24" i="7" s="1"/>
  <c r="V24" i="7" s="1"/>
  <c r="W24" i="7" s="1"/>
  <c r="Y24" i="7" s="1"/>
  <c r="Z24" i="7" s="1"/>
  <c r="H25" i="7"/>
  <c r="J25" i="7" s="1"/>
  <c r="K25" i="7" s="1"/>
  <c r="M25" i="7" s="1"/>
  <c r="N25" i="7" s="1"/>
  <c r="P25" i="7" s="1"/>
  <c r="Q25" i="7" s="1"/>
  <c r="S25" i="7" s="1"/>
  <c r="T25" i="7" s="1"/>
  <c r="V25" i="7" s="1"/>
  <c r="W25" i="7" s="1"/>
  <c r="Y25" i="7" s="1"/>
  <c r="Z25" i="7" s="1"/>
  <c r="H26" i="7"/>
  <c r="H27" i="7"/>
  <c r="H28" i="7"/>
  <c r="J28" i="7" s="1"/>
  <c r="K28" i="7" s="1"/>
  <c r="M28" i="7" s="1"/>
  <c r="N28" i="7" s="1"/>
  <c r="P28" i="7" s="1"/>
  <c r="Q28" i="7" s="1"/>
  <c r="S28" i="7" s="1"/>
  <c r="T28" i="7" s="1"/>
  <c r="V28" i="7" s="1"/>
  <c r="W28" i="7" s="1"/>
  <c r="Y28" i="7" s="1"/>
  <c r="Z28" i="7" s="1"/>
  <c r="H29" i="7"/>
  <c r="H30" i="7"/>
  <c r="H31" i="7"/>
  <c r="AL15" i="7"/>
  <c r="AL24" i="7"/>
  <c r="AL25" i="7"/>
  <c r="AL26" i="7"/>
  <c r="AL27" i="7"/>
  <c r="AL28" i="7"/>
  <c r="AL29" i="7"/>
  <c r="AL30" i="7"/>
  <c r="AL31" i="7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" i="5"/>
  <c r="D34" i="2"/>
  <c r="O6" i="15" l="1"/>
  <c r="Q6" i="15" s="1"/>
  <c r="O25" i="15"/>
  <c r="Q25" i="15" s="1"/>
  <c r="O29" i="15"/>
  <c r="O17" i="15"/>
  <c r="Q17" i="15" s="1"/>
  <c r="O28" i="15"/>
  <c r="Q28" i="15" s="1"/>
  <c r="O35" i="15"/>
  <c r="Q35" i="15" s="1"/>
  <c r="O2" i="15"/>
  <c r="O9" i="15"/>
  <c r="Q9" i="15" s="1"/>
  <c r="O16" i="15"/>
  <c r="O11" i="15"/>
  <c r="Q11" i="15" s="1"/>
  <c r="O18" i="15"/>
  <c r="Q18" i="15" s="1"/>
  <c r="O3" i="15"/>
  <c r="Q3" i="15" s="1"/>
  <c r="O33" i="15"/>
  <c r="Q33" i="15" s="1"/>
  <c r="O31" i="15"/>
  <c r="Q31" i="15" s="1"/>
  <c r="O10" i="15"/>
  <c r="Q10" i="15" s="1"/>
  <c r="O36" i="15"/>
  <c r="Q36" i="15" s="1"/>
  <c r="O22" i="15"/>
  <c r="Q22" i="15" s="1"/>
  <c r="O27" i="15"/>
  <c r="Q27" i="15" s="1"/>
  <c r="O8" i="15"/>
  <c r="Q8" i="15" s="1"/>
  <c r="O20" i="15"/>
  <c r="Q20" i="15" s="1"/>
  <c r="O19" i="15"/>
  <c r="Q19" i="15" s="1"/>
  <c r="O26" i="15"/>
  <c r="Q26" i="15" s="1"/>
  <c r="O24" i="15"/>
  <c r="Q24" i="15" s="1"/>
  <c r="O15" i="15"/>
  <c r="Q15" i="15" s="1"/>
  <c r="O13" i="15"/>
  <c r="O21" i="15"/>
  <c r="Q21" i="15" s="1"/>
  <c r="O5" i="15"/>
  <c r="Q5" i="15" s="1"/>
  <c r="O23" i="15"/>
  <c r="Q23" i="15" s="1"/>
  <c r="O14" i="15"/>
  <c r="Q14" i="15" s="1"/>
  <c r="O32" i="15"/>
  <c r="Q32" i="15" s="1"/>
  <c r="O30" i="15"/>
  <c r="Q30" i="15" s="1"/>
  <c r="O34" i="15"/>
  <c r="Q34" i="15" s="1"/>
  <c r="O7" i="15"/>
  <c r="Q7" i="15" s="1"/>
  <c r="O12" i="15"/>
  <c r="Q12" i="15" s="1"/>
  <c r="O4" i="15"/>
  <c r="Q4" i="15" s="1"/>
  <c r="Q2" i="15"/>
  <c r="Q13" i="15"/>
  <c r="Q37" i="15"/>
  <c r="R37" i="15" s="1"/>
  <c r="Q29" i="15"/>
  <c r="Q16" i="15"/>
  <c r="G22" i="7"/>
  <c r="J17" i="7"/>
  <c r="K17" i="7" s="1"/>
  <c r="M17" i="7" s="1"/>
  <c r="N17" i="7" s="1"/>
  <c r="P17" i="7" s="1"/>
  <c r="Q17" i="7" s="1"/>
  <c r="S17" i="7" s="1"/>
  <c r="T17" i="7" s="1"/>
  <c r="V17" i="7" s="1"/>
  <c r="W17" i="7" s="1"/>
  <c r="Y17" i="7" s="1"/>
  <c r="Z17" i="7" s="1"/>
  <c r="AD17" i="7" s="1"/>
  <c r="AE17" i="7" s="1"/>
  <c r="AG17" i="7" s="1"/>
  <c r="AH17" i="7" s="1"/>
  <c r="G18" i="7"/>
  <c r="J23" i="7"/>
  <c r="K23" i="7" s="1"/>
  <c r="M23" i="7" s="1"/>
  <c r="N23" i="7" s="1"/>
  <c r="P23" i="7" s="1"/>
  <c r="Q23" i="7" s="1"/>
  <c r="S23" i="7" s="1"/>
  <c r="T23" i="7" s="1"/>
  <c r="V23" i="7" s="1"/>
  <c r="W23" i="7" s="1"/>
  <c r="Y23" i="7" s="1"/>
  <c r="Z23" i="7" s="1"/>
  <c r="AD23" i="7" s="1"/>
  <c r="AE23" i="7" s="1"/>
  <c r="AG23" i="7" s="1"/>
  <c r="AH23" i="7" s="1"/>
  <c r="AJ23" i="7" s="1"/>
  <c r="AK23" i="7" s="1"/>
  <c r="D29" i="7"/>
  <c r="D25" i="7"/>
  <c r="J19" i="7"/>
  <c r="K19" i="7" s="1"/>
  <c r="M19" i="7" s="1"/>
  <c r="N19" i="7" s="1"/>
  <c r="P19" i="7" s="1"/>
  <c r="Q19" i="7" s="1"/>
  <c r="S19" i="7" s="1"/>
  <c r="T19" i="7" s="1"/>
  <c r="V19" i="7" s="1"/>
  <c r="W19" i="7" s="1"/>
  <c r="Y19" i="7" s="1"/>
  <c r="Z19" i="7" s="1"/>
  <c r="AD19" i="7" s="1"/>
  <c r="AE19" i="7" s="1"/>
  <c r="AG19" i="7" s="1"/>
  <c r="AH19" i="7" s="1"/>
  <c r="AJ19" i="7" s="1"/>
  <c r="AK19" i="7" s="1"/>
  <c r="D21" i="7"/>
  <c r="D17" i="7"/>
  <c r="D31" i="7"/>
  <c r="D27" i="7"/>
  <c r="D15" i="7"/>
  <c r="J21" i="7"/>
  <c r="K21" i="7" s="1"/>
  <c r="M21" i="7" s="1"/>
  <c r="N21" i="7" s="1"/>
  <c r="P21" i="7" s="1"/>
  <c r="Q21" i="7" s="1"/>
  <c r="S21" i="7" s="1"/>
  <c r="T21" i="7" s="1"/>
  <c r="V21" i="7" s="1"/>
  <c r="W21" i="7" s="1"/>
  <c r="Y21" i="7" s="1"/>
  <c r="Z21" i="7" s="1"/>
  <c r="AD21" i="7" s="1"/>
  <c r="AE21" i="7" s="1"/>
  <c r="AG21" i="7" s="1"/>
  <c r="AH21" i="7" s="1"/>
  <c r="AJ21" i="7" s="1"/>
  <c r="AK21" i="7" s="1"/>
  <c r="J20" i="7"/>
  <c r="K20" i="7" s="1"/>
  <c r="M20" i="7" s="1"/>
  <c r="N20" i="7" s="1"/>
  <c r="P20" i="7" s="1"/>
  <c r="Q20" i="7" s="1"/>
  <c r="S20" i="7" s="1"/>
  <c r="T20" i="7" s="1"/>
  <c r="V20" i="7" s="1"/>
  <c r="W20" i="7" s="1"/>
  <c r="Y20" i="7" s="1"/>
  <c r="Z20" i="7" s="1"/>
  <c r="AD20" i="7" s="1"/>
  <c r="AE20" i="7" s="1"/>
  <c r="AG20" i="7" s="1"/>
  <c r="AH20" i="7" s="1"/>
  <c r="J22" i="7"/>
  <c r="K22" i="7" s="1"/>
  <c r="M22" i="7" s="1"/>
  <c r="N22" i="7" s="1"/>
  <c r="P22" i="7" s="1"/>
  <c r="Q22" i="7" s="1"/>
  <c r="S22" i="7" s="1"/>
  <c r="T22" i="7" s="1"/>
  <c r="V22" i="7" s="1"/>
  <c r="W22" i="7" s="1"/>
  <c r="Y22" i="7" s="1"/>
  <c r="Z22" i="7" s="1"/>
  <c r="AD22" i="7" s="1"/>
  <c r="AE22" i="7" s="1"/>
  <c r="AG22" i="7" s="1"/>
  <c r="AH22" i="7" s="1"/>
  <c r="J18" i="7"/>
  <c r="K18" i="7" s="1"/>
  <c r="M18" i="7" s="1"/>
  <c r="N18" i="7" s="1"/>
  <c r="P18" i="7" s="1"/>
  <c r="Q18" i="7" s="1"/>
  <c r="S18" i="7" s="1"/>
  <c r="T18" i="7" s="1"/>
  <c r="V18" i="7" s="1"/>
  <c r="W18" i="7" s="1"/>
  <c r="Y18" i="7" s="1"/>
  <c r="Z18" i="7" s="1"/>
  <c r="AD18" i="7" s="1"/>
  <c r="AE18" i="7" s="1"/>
  <c r="AG18" i="7" s="1"/>
  <c r="AH18" i="7" s="1"/>
  <c r="D16" i="7"/>
  <c r="D23" i="7"/>
  <c r="D19" i="7"/>
  <c r="G30" i="7"/>
  <c r="G26" i="7"/>
  <c r="D28" i="7"/>
  <c r="D24" i="7"/>
  <c r="D20" i="7"/>
  <c r="J30" i="7"/>
  <c r="K30" i="7" s="1"/>
  <c r="M30" i="7" s="1"/>
  <c r="N30" i="7" s="1"/>
  <c r="P30" i="7" s="1"/>
  <c r="Q30" i="7" s="1"/>
  <c r="S30" i="7" s="1"/>
  <c r="T30" i="7" s="1"/>
  <c r="V30" i="7" s="1"/>
  <c r="W30" i="7" s="1"/>
  <c r="Y30" i="7" s="1"/>
  <c r="Z30" i="7" s="1"/>
  <c r="AD30" i="7" s="1"/>
  <c r="AE30" i="7" s="1"/>
  <c r="AG30" i="7" s="1"/>
  <c r="AH30" i="7" s="1"/>
  <c r="G35" i="7"/>
  <c r="J35" i="7"/>
  <c r="K35" i="7" s="1"/>
  <c r="M35" i="7" s="1"/>
  <c r="N35" i="7" s="1"/>
  <c r="P35" i="7" s="1"/>
  <c r="Q35" i="7" s="1"/>
  <c r="S35" i="7" s="1"/>
  <c r="T35" i="7" s="1"/>
  <c r="V35" i="7" s="1"/>
  <c r="W35" i="7" s="1"/>
  <c r="Y35" i="7" s="1"/>
  <c r="Z35" i="7" s="1"/>
  <c r="AD35" i="7" s="1"/>
  <c r="AE35" i="7" s="1"/>
  <c r="AG35" i="7" s="1"/>
  <c r="AH35" i="7" s="1"/>
  <c r="AJ35" i="7" s="1"/>
  <c r="AK35" i="7" s="1"/>
  <c r="G31" i="7"/>
  <c r="G27" i="7"/>
  <c r="G15" i="7"/>
  <c r="D30" i="7"/>
  <c r="D26" i="7"/>
  <c r="J26" i="7"/>
  <c r="K26" i="7" s="1"/>
  <c r="M26" i="7" s="1"/>
  <c r="N26" i="7" s="1"/>
  <c r="P26" i="7" s="1"/>
  <c r="Q26" i="7" s="1"/>
  <c r="S26" i="7" s="1"/>
  <c r="T26" i="7" s="1"/>
  <c r="V26" i="7" s="1"/>
  <c r="W26" i="7" s="1"/>
  <c r="Y26" i="7" s="1"/>
  <c r="Z26" i="7" s="1"/>
  <c r="AD26" i="7" s="1"/>
  <c r="AE26" i="7" s="1"/>
  <c r="AG26" i="7" s="1"/>
  <c r="AH26" i="7" s="1"/>
  <c r="D22" i="7"/>
  <c r="J27" i="7"/>
  <c r="K27" i="7" s="1"/>
  <c r="M27" i="7" s="1"/>
  <c r="N27" i="7" s="1"/>
  <c r="P27" i="7" s="1"/>
  <c r="Q27" i="7" s="1"/>
  <c r="S27" i="7" s="1"/>
  <c r="T27" i="7" s="1"/>
  <c r="V27" i="7" s="1"/>
  <c r="W27" i="7" s="1"/>
  <c r="Y27" i="7" s="1"/>
  <c r="Z27" i="7" s="1"/>
  <c r="D18" i="7"/>
  <c r="AD16" i="7"/>
  <c r="AE16" i="7" s="1"/>
  <c r="AG16" i="7" s="1"/>
  <c r="AH16" i="7" s="1"/>
  <c r="J31" i="7"/>
  <c r="K31" i="7" s="1"/>
  <c r="M31" i="7" s="1"/>
  <c r="N31" i="7" s="1"/>
  <c r="P31" i="7" s="1"/>
  <c r="Q31" i="7" s="1"/>
  <c r="S31" i="7" s="1"/>
  <c r="T31" i="7" s="1"/>
  <c r="V31" i="7" s="1"/>
  <c r="W31" i="7" s="1"/>
  <c r="Y31" i="7" s="1"/>
  <c r="Z31" i="7" s="1"/>
  <c r="AD31" i="7" s="1"/>
  <c r="AE31" i="7" s="1"/>
  <c r="AG31" i="7" s="1"/>
  <c r="AH31" i="7" s="1"/>
  <c r="AJ31" i="7" s="1"/>
  <c r="AK31" i="7" s="1"/>
  <c r="J15" i="7"/>
  <c r="K15" i="7" s="1"/>
  <c r="M15" i="7" s="1"/>
  <c r="N15" i="7" s="1"/>
  <c r="P15" i="7" s="1"/>
  <c r="Q15" i="7" s="1"/>
  <c r="S15" i="7" s="1"/>
  <c r="T15" i="7" s="1"/>
  <c r="V15" i="7" s="1"/>
  <c r="W15" i="7" s="1"/>
  <c r="Y15" i="7" s="1"/>
  <c r="Z15" i="7" s="1"/>
  <c r="AD15" i="7" s="1"/>
  <c r="AE15" i="7" s="1"/>
  <c r="AG15" i="7" s="1"/>
  <c r="AH15" i="7" s="1"/>
  <c r="G29" i="7"/>
  <c r="J29" i="7"/>
  <c r="K29" i="7" s="1"/>
  <c r="M29" i="7" s="1"/>
  <c r="N29" i="7" s="1"/>
  <c r="P29" i="7" s="1"/>
  <c r="Q29" i="7" s="1"/>
  <c r="S29" i="7" s="1"/>
  <c r="T29" i="7" s="1"/>
  <c r="V29" i="7" s="1"/>
  <c r="W29" i="7" s="1"/>
  <c r="Y29" i="7" s="1"/>
  <c r="Z29" i="7" s="1"/>
  <c r="AD29" i="7" s="1"/>
  <c r="AE29" i="7" s="1"/>
  <c r="AG29" i="7" s="1"/>
  <c r="AH29" i="7" s="1"/>
  <c r="AJ29" i="7" s="1"/>
  <c r="AK29" i="7" s="1"/>
  <c r="G25" i="7"/>
  <c r="AD25" i="7"/>
  <c r="AE25" i="7" s="1"/>
  <c r="AG25" i="7" s="1"/>
  <c r="AH25" i="7" s="1"/>
  <c r="AJ25" i="7" s="1"/>
  <c r="AK25" i="7" s="1"/>
  <c r="AD24" i="7"/>
  <c r="AE24" i="7" s="1"/>
  <c r="AG24" i="7" s="1"/>
  <c r="AH24" i="7" s="1"/>
  <c r="AD28" i="7"/>
  <c r="AE28" i="7" s="1"/>
  <c r="AG28" i="7" s="1"/>
  <c r="AH28" i="7" s="1"/>
  <c r="G28" i="7"/>
  <c r="G24" i="7"/>
  <c r="R35" i="15" l="1"/>
  <c r="T35" i="15" s="1"/>
  <c r="R23" i="15"/>
  <c r="T23" i="15" s="1"/>
  <c r="R34" i="15"/>
  <c r="T34" i="15" s="1"/>
  <c r="R3" i="15"/>
  <c r="T3" i="15" s="1"/>
  <c r="R36" i="15"/>
  <c r="T36" i="15" s="1"/>
  <c r="R9" i="15"/>
  <c r="T9" i="15" s="1"/>
  <c r="R6" i="15"/>
  <c r="T6" i="15" s="1"/>
  <c r="R16" i="15"/>
  <c r="T16" i="15" s="1"/>
  <c r="R4" i="15"/>
  <c r="T4" i="15" s="1"/>
  <c r="R5" i="15"/>
  <c r="T5" i="15" s="1"/>
  <c r="R24" i="15"/>
  <c r="T24" i="15" s="1"/>
  <c r="R8" i="15"/>
  <c r="T8" i="15" s="1"/>
  <c r="R10" i="15"/>
  <c r="T10" i="15" s="1"/>
  <c r="R13" i="15"/>
  <c r="T13" i="15" s="1"/>
  <c r="R12" i="15"/>
  <c r="T12" i="15" s="1"/>
  <c r="R26" i="15"/>
  <c r="T26" i="15" s="1"/>
  <c r="R27" i="15"/>
  <c r="T27" i="15" s="1"/>
  <c r="R31" i="15"/>
  <c r="T31" i="15" s="1"/>
  <c r="R11" i="15"/>
  <c r="T11" i="15" s="1"/>
  <c r="R18" i="15"/>
  <c r="R28" i="15"/>
  <c r="T28" i="15" s="1"/>
  <c r="R19" i="15"/>
  <c r="T19" i="15" s="1"/>
  <c r="R7" i="15"/>
  <c r="T7" i="15" s="1"/>
  <c r="R22" i="15"/>
  <c r="T22" i="15" s="1"/>
  <c r="R33" i="15"/>
  <c r="T33" i="15" s="1"/>
  <c r="R20" i="15"/>
  <c r="T20" i="15" s="1"/>
  <c r="R29" i="15"/>
  <c r="T29" i="15" s="1"/>
  <c r="R21" i="15"/>
  <c r="T21" i="15" s="1"/>
  <c r="R32" i="15"/>
  <c r="T32" i="15" s="1"/>
  <c r="R17" i="15"/>
  <c r="T17" i="15" s="1"/>
  <c r="R30" i="15"/>
  <c r="T30" i="15" s="1"/>
  <c r="R14" i="15"/>
  <c r="T14" i="15" s="1"/>
  <c r="R15" i="15"/>
  <c r="T15" i="15" s="1"/>
  <c r="R25" i="15"/>
  <c r="T25" i="15" s="1"/>
  <c r="R2" i="15"/>
  <c r="T2" i="15" s="1"/>
  <c r="T18" i="15"/>
  <c r="T37" i="15"/>
  <c r="U37" i="15" s="1"/>
  <c r="AB35" i="7"/>
  <c r="AD27" i="7"/>
  <c r="AE27" i="7" s="1"/>
  <c r="AG27" i="7" s="1"/>
  <c r="AH27" i="7" s="1"/>
  <c r="AJ27" i="7" s="1"/>
  <c r="AK27" i="7" s="1"/>
  <c r="AM35" i="7"/>
  <c r="AN35" i="7" s="1"/>
  <c r="AM23" i="7"/>
  <c r="AN23" i="7" s="1"/>
  <c r="AM21" i="7"/>
  <c r="AN21" i="7" s="1"/>
  <c r="AJ20" i="7"/>
  <c r="AK20" i="7" s="1"/>
  <c r="AM20" i="7"/>
  <c r="AN20" i="7" s="1"/>
  <c r="AJ22" i="7"/>
  <c r="AK22" i="7" s="1"/>
  <c r="AM22" i="7"/>
  <c r="AN22" i="7" s="1"/>
  <c r="AJ16" i="7"/>
  <c r="AK16" i="7" s="1"/>
  <c r="AM16" i="7"/>
  <c r="AN16" i="7" s="1"/>
  <c r="AJ18" i="7"/>
  <c r="AK18" i="7" s="1"/>
  <c r="AM18" i="7"/>
  <c r="AN18" i="7" s="1"/>
  <c r="AJ17" i="7"/>
  <c r="AK17" i="7" s="1"/>
  <c r="AM17" i="7"/>
  <c r="AN17" i="7" s="1"/>
  <c r="AM29" i="7"/>
  <c r="AN29" i="7" s="1"/>
  <c r="AM19" i="7"/>
  <c r="AN19" i="7" s="1"/>
  <c r="AM25" i="7"/>
  <c r="AN25" i="7" s="1"/>
  <c r="AJ24" i="7"/>
  <c r="AK24" i="7" s="1"/>
  <c r="AM24" i="7"/>
  <c r="AN24" i="7" s="1"/>
  <c r="AJ28" i="7"/>
  <c r="AK28" i="7" s="1"/>
  <c r="AM28" i="7"/>
  <c r="AN28" i="7" s="1"/>
  <c r="AM26" i="7"/>
  <c r="AN26" i="7" s="1"/>
  <c r="AJ26" i="7"/>
  <c r="AK26" i="7" s="1"/>
  <c r="AJ15" i="7"/>
  <c r="AK15" i="7" s="1"/>
  <c r="AM15" i="7"/>
  <c r="AN15" i="7" s="1"/>
  <c r="AM30" i="7"/>
  <c r="AN30" i="7" s="1"/>
  <c r="AJ30" i="7"/>
  <c r="AK30" i="7" s="1"/>
  <c r="AM31" i="7"/>
  <c r="AN31" i="7" s="1"/>
  <c r="U12" i="15" l="1"/>
  <c r="U2" i="15"/>
  <c r="W2" i="15" s="1"/>
  <c r="U30" i="15"/>
  <c r="U34" i="15"/>
  <c r="W34" i="15" s="1"/>
  <c r="U26" i="15"/>
  <c r="W26" i="15" s="1"/>
  <c r="U14" i="15"/>
  <c r="W14" i="15" s="1"/>
  <c r="U21" i="15"/>
  <c r="W21" i="15" s="1"/>
  <c r="U25" i="15"/>
  <c r="W25" i="15" s="1"/>
  <c r="U10" i="15"/>
  <c r="W10" i="15" s="1"/>
  <c r="U16" i="15"/>
  <c r="W16" i="15" s="1"/>
  <c r="U29" i="15"/>
  <c r="W29" i="15" s="1"/>
  <c r="U15" i="15"/>
  <c r="W15" i="15" s="1"/>
  <c r="U17" i="15"/>
  <c r="W17" i="15" s="1"/>
  <c r="U32" i="15"/>
  <c r="U36" i="15"/>
  <c r="W36" i="15" s="1"/>
  <c r="U27" i="15"/>
  <c r="W27" i="15" s="1"/>
  <c r="U24" i="15"/>
  <c r="W24" i="15" s="1"/>
  <c r="U13" i="15"/>
  <c r="W13" i="15" s="1"/>
  <c r="U9" i="15"/>
  <c r="W9" i="15" s="1"/>
  <c r="U20" i="15"/>
  <c r="W20" i="15" s="1"/>
  <c r="U35" i="15"/>
  <c r="W35" i="15" s="1"/>
  <c r="U33" i="15"/>
  <c r="W33" i="15" s="1"/>
  <c r="U6" i="15"/>
  <c r="W6" i="15" s="1"/>
  <c r="U31" i="15"/>
  <c r="W31" i="15" s="1"/>
  <c r="U11" i="15"/>
  <c r="W11" i="15" s="1"/>
  <c r="U22" i="15"/>
  <c r="W22" i="15" s="1"/>
  <c r="U19" i="15"/>
  <c r="W19" i="15" s="1"/>
  <c r="U4" i="15"/>
  <c r="W4" i="15" s="1"/>
  <c r="U28" i="15"/>
  <c r="W28" i="15" s="1"/>
  <c r="U8" i="15"/>
  <c r="W8" i="15" s="1"/>
  <c r="U7" i="15"/>
  <c r="W7" i="15" s="1"/>
  <c r="U3" i="15"/>
  <c r="W3" i="15" s="1"/>
  <c r="U5" i="15"/>
  <c r="W5" i="15" s="1"/>
  <c r="U23" i="15"/>
  <c r="W23" i="15" s="1"/>
  <c r="U18" i="15"/>
  <c r="W18" i="15" s="1"/>
  <c r="W12" i="15"/>
  <c r="W37" i="15"/>
  <c r="X37" i="15" s="1"/>
  <c r="W32" i="15"/>
  <c r="W30" i="15"/>
  <c r="AM27" i="7"/>
  <c r="AN27" i="7" s="1"/>
  <c r="E34" i="2"/>
  <c r="X32" i="15" l="1"/>
  <c r="X5" i="15"/>
  <c r="Z5" i="15" s="1"/>
  <c r="X19" i="15"/>
  <c r="Z19" i="15" s="1"/>
  <c r="X29" i="15"/>
  <c r="Z29" i="15" s="1"/>
  <c r="X9" i="15"/>
  <c r="X7" i="15"/>
  <c r="Z7" i="15" s="1"/>
  <c r="X6" i="15"/>
  <c r="Z6" i="15" s="1"/>
  <c r="X28" i="15"/>
  <c r="Z28" i="15" s="1"/>
  <c r="X3" i="15"/>
  <c r="Z3" i="15" s="1"/>
  <c r="X4" i="15"/>
  <c r="Z4" i="15" s="1"/>
  <c r="X31" i="15"/>
  <c r="Z31" i="15" s="1"/>
  <c r="X11" i="15"/>
  <c r="Z11" i="15" s="1"/>
  <c r="X26" i="15"/>
  <c r="Z26" i="15" s="1"/>
  <c r="X2" i="15"/>
  <c r="Z2" i="15" s="1"/>
  <c r="X17" i="15"/>
  <c r="Z17" i="15" s="1"/>
  <c r="X13" i="15"/>
  <c r="Z13" i="15" s="1"/>
  <c r="X10" i="15"/>
  <c r="Z10" i="15" s="1"/>
  <c r="X18" i="15"/>
  <c r="Z18" i="15" s="1"/>
  <c r="X22" i="15"/>
  <c r="Z22" i="15" s="1"/>
  <c r="X14" i="15"/>
  <c r="X16" i="15"/>
  <c r="Z16" i="15" s="1"/>
  <c r="X33" i="15"/>
  <c r="Z33" i="15" s="1"/>
  <c r="X20" i="15"/>
  <c r="Z20" i="15" s="1"/>
  <c r="X15" i="15"/>
  <c r="Z15" i="15" s="1"/>
  <c r="X25" i="15"/>
  <c r="Z25" i="15" s="1"/>
  <c r="X23" i="15"/>
  <c r="Z23" i="15" s="1"/>
  <c r="X8" i="15"/>
  <c r="Z8" i="15" s="1"/>
  <c r="X30" i="15"/>
  <c r="Z30" i="15" s="1"/>
  <c r="X21" i="15"/>
  <c r="Z21" i="15" s="1"/>
  <c r="X27" i="15"/>
  <c r="Z27" i="15" s="1"/>
  <c r="X35" i="15"/>
  <c r="Z35" i="15" s="1"/>
  <c r="X12" i="15"/>
  <c r="Z12" i="15" s="1"/>
  <c r="X24" i="15"/>
  <c r="Z24" i="15" s="1"/>
  <c r="X34" i="15"/>
  <c r="Z34" i="15" s="1"/>
  <c r="X36" i="15"/>
  <c r="Z36" i="15" s="1"/>
  <c r="Z14" i="15"/>
  <c r="Z9" i="15"/>
  <c r="Z32" i="15"/>
  <c r="Z37" i="15"/>
  <c r="AA37" i="15" s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AA32" i="15" l="1"/>
  <c r="AA29" i="15"/>
  <c r="AC29" i="15" s="1"/>
  <c r="AA21" i="15"/>
  <c r="AC21" i="15" s="1"/>
  <c r="AA27" i="15"/>
  <c r="AC27" i="15" s="1"/>
  <c r="AA17" i="15"/>
  <c r="AC17" i="15" s="1"/>
  <c r="AA33" i="15"/>
  <c r="AC33" i="15" s="1"/>
  <c r="AA28" i="15"/>
  <c r="AC28" i="15" s="1"/>
  <c r="AA36" i="15"/>
  <c r="AA5" i="15"/>
  <c r="AA2" i="15"/>
  <c r="AC2" i="15" s="1"/>
  <c r="AA20" i="15"/>
  <c r="AC20" i="15" s="1"/>
  <c r="AA34" i="15"/>
  <c r="AC34" i="15" s="1"/>
  <c r="AA9" i="15"/>
  <c r="AC9" i="15" s="1"/>
  <c r="AA24" i="15"/>
  <c r="AA6" i="15"/>
  <c r="AC6" i="15" s="1"/>
  <c r="AA11" i="15"/>
  <c r="AC11" i="15" s="1"/>
  <c r="AA16" i="15"/>
  <c r="AC16" i="15" s="1"/>
  <c r="AA30" i="15"/>
  <c r="AC30" i="15" s="1"/>
  <c r="AA26" i="15"/>
  <c r="AC26" i="15" s="1"/>
  <c r="AA14" i="15"/>
  <c r="AC14" i="15" s="1"/>
  <c r="AA19" i="15"/>
  <c r="AC19" i="15" s="1"/>
  <c r="AA12" i="15"/>
  <c r="AC12" i="15" s="1"/>
  <c r="AA23" i="15"/>
  <c r="AC23" i="15" s="1"/>
  <c r="AA7" i="15"/>
  <c r="AC7" i="15" s="1"/>
  <c r="AA22" i="15"/>
  <c r="AC22" i="15" s="1"/>
  <c r="AA8" i="15"/>
  <c r="AC8" i="15" s="1"/>
  <c r="AA31" i="15"/>
  <c r="AC31" i="15" s="1"/>
  <c r="AA4" i="15"/>
  <c r="AC4" i="15" s="1"/>
  <c r="AA35" i="15"/>
  <c r="AC35" i="15" s="1"/>
  <c r="AA13" i="15"/>
  <c r="AC13" i="15" s="1"/>
  <c r="AA25" i="15"/>
  <c r="AC25" i="15" s="1"/>
  <c r="AA3" i="15"/>
  <c r="AC3" i="15" s="1"/>
  <c r="AA10" i="15"/>
  <c r="AC10" i="15" s="1"/>
  <c r="AA15" i="15"/>
  <c r="AC15" i="15" s="1"/>
  <c r="AA18" i="15"/>
  <c r="AC18" i="15" s="1"/>
  <c r="AC36" i="15"/>
  <c r="AC5" i="15"/>
  <c r="AC24" i="15"/>
  <c r="AC37" i="15"/>
  <c r="AD37" i="15" s="1"/>
  <c r="AC32" i="15"/>
  <c r="R12" i="8"/>
  <c r="R2" i="8"/>
  <c r="R23" i="8"/>
  <c r="R14" i="8"/>
  <c r="R21" i="8"/>
  <c r="R5" i="8"/>
  <c r="R13" i="8"/>
  <c r="R7" i="8"/>
  <c r="R6" i="8"/>
  <c r="R3" i="8"/>
  <c r="R19" i="8"/>
  <c r="R8" i="8"/>
  <c r="R20" i="8"/>
  <c r="R15" i="8"/>
  <c r="R11" i="8"/>
  <c r="R17" i="8"/>
  <c r="R26" i="8"/>
  <c r="R22" i="8"/>
  <c r="R18" i="8"/>
  <c r="R10" i="8"/>
  <c r="R16" i="8"/>
  <c r="R4" i="8"/>
  <c r="R25" i="8"/>
  <c r="O12" i="8"/>
  <c r="O2" i="8"/>
  <c r="O23" i="8"/>
  <c r="O14" i="8"/>
  <c r="O21" i="8"/>
  <c r="O5" i="8"/>
  <c r="O13" i="8"/>
  <c r="O7" i="8"/>
  <c r="O6" i="8"/>
  <c r="O3" i="8"/>
  <c r="O19" i="8"/>
  <c r="O8" i="8"/>
  <c r="O20" i="8"/>
  <c r="O15" i="8"/>
  <c r="O11" i="8"/>
  <c r="O17" i="8"/>
  <c r="O26" i="8"/>
  <c r="O22" i="8"/>
  <c r="O18" i="8"/>
  <c r="O10" i="8"/>
  <c r="O16" i="8"/>
  <c r="O4" i="8"/>
  <c r="O25" i="8"/>
  <c r="L12" i="8"/>
  <c r="L2" i="8"/>
  <c r="L23" i="8"/>
  <c r="L14" i="8"/>
  <c r="L21" i="8"/>
  <c r="L5" i="8"/>
  <c r="L13" i="8"/>
  <c r="L7" i="8"/>
  <c r="L6" i="8"/>
  <c r="L3" i="8"/>
  <c r="L19" i="8"/>
  <c r="L8" i="8"/>
  <c r="L20" i="8"/>
  <c r="L15" i="8"/>
  <c r="L11" i="8"/>
  <c r="L17" i="8"/>
  <c r="L26" i="8"/>
  <c r="L22" i="8"/>
  <c r="L18" i="8"/>
  <c r="L10" i="8"/>
  <c r="L16" i="8"/>
  <c r="L4" i="8"/>
  <c r="L25" i="8"/>
  <c r="L9" i="8"/>
  <c r="I12" i="8"/>
  <c r="I2" i="8"/>
  <c r="I23" i="8"/>
  <c r="I14" i="8"/>
  <c r="I21" i="8"/>
  <c r="I5" i="8"/>
  <c r="I13" i="8"/>
  <c r="I7" i="8"/>
  <c r="I6" i="8"/>
  <c r="I3" i="8"/>
  <c r="I19" i="8"/>
  <c r="I8" i="8"/>
  <c r="I20" i="8"/>
  <c r="I15" i="8"/>
  <c r="I11" i="8"/>
  <c r="I17" i="8"/>
  <c r="I26" i="8"/>
  <c r="I22" i="8"/>
  <c r="I18" i="8"/>
  <c r="I10" i="8"/>
  <c r="I16" i="8"/>
  <c r="I4" i="8"/>
  <c r="I25" i="8"/>
  <c r="AD35" i="15" l="1"/>
  <c r="AF35" i="15" s="1"/>
  <c r="AD15" i="15"/>
  <c r="AF15" i="15" s="1"/>
  <c r="AD13" i="15"/>
  <c r="AF13" i="15" s="1"/>
  <c r="AD12" i="15"/>
  <c r="AF12" i="15" s="1"/>
  <c r="AD4" i="15"/>
  <c r="AF4" i="15" s="1"/>
  <c r="AD10" i="15"/>
  <c r="AF10" i="15" s="1"/>
  <c r="AD24" i="15"/>
  <c r="AF24" i="15" s="1"/>
  <c r="AD31" i="15"/>
  <c r="AF31" i="15" s="1"/>
  <c r="AD6" i="15"/>
  <c r="AF6" i="15" s="1"/>
  <c r="AD21" i="15"/>
  <c r="AF21" i="15" s="1"/>
  <c r="AD19" i="15"/>
  <c r="AF19" i="15" s="1"/>
  <c r="AD2" i="15"/>
  <c r="AF2" i="15" s="1"/>
  <c r="AD9" i="15"/>
  <c r="AF9" i="15" s="1"/>
  <c r="AD14" i="15"/>
  <c r="AF14" i="15" s="1"/>
  <c r="AD34" i="15"/>
  <c r="AF34" i="15" s="1"/>
  <c r="AD18" i="15"/>
  <c r="AD25" i="15"/>
  <c r="AF25" i="15" s="1"/>
  <c r="AD32" i="15"/>
  <c r="AF32" i="15" s="1"/>
  <c r="AD7" i="15"/>
  <c r="AF7" i="15" s="1"/>
  <c r="AD16" i="15"/>
  <c r="AF16" i="15" s="1"/>
  <c r="AD27" i="15"/>
  <c r="AF27" i="15" s="1"/>
  <c r="AD23" i="15"/>
  <c r="AF23" i="15" s="1"/>
  <c r="AD11" i="15"/>
  <c r="AF11" i="15" s="1"/>
  <c r="AD20" i="15"/>
  <c r="AF20" i="15" s="1"/>
  <c r="AD29" i="15"/>
  <c r="AF29" i="15" s="1"/>
  <c r="AD5" i="15"/>
  <c r="AF5" i="15" s="1"/>
  <c r="AD3" i="15"/>
  <c r="AF3" i="15" s="1"/>
  <c r="AD28" i="15"/>
  <c r="AF28" i="15" s="1"/>
  <c r="AD22" i="15"/>
  <c r="AF22" i="15" s="1"/>
  <c r="AD26" i="15"/>
  <c r="AF26" i="15" s="1"/>
  <c r="AD33" i="15"/>
  <c r="AF33" i="15" s="1"/>
  <c r="AD8" i="15"/>
  <c r="AF8" i="15" s="1"/>
  <c r="AD30" i="15"/>
  <c r="AF30" i="15" s="1"/>
  <c r="AD17" i="15"/>
  <c r="AF17" i="15" s="1"/>
  <c r="AD36" i="15"/>
  <c r="AF36" i="15" s="1"/>
  <c r="AF18" i="15"/>
  <c r="AF37" i="15"/>
  <c r="AG37" i="15" s="1"/>
  <c r="G24" i="8"/>
  <c r="G4" i="8"/>
  <c r="N2" i="8"/>
  <c r="AJ19" i="8"/>
  <c r="AJ8" i="8"/>
  <c r="AJ20" i="8"/>
  <c r="AJ15" i="8"/>
  <c r="AJ11" i="8"/>
  <c r="AJ17" i="8"/>
  <c r="AJ26" i="8"/>
  <c r="AJ22" i="8"/>
  <c r="AJ18" i="8"/>
  <c r="AJ10" i="8"/>
  <c r="AJ16" i="8"/>
  <c r="AJ4" i="8"/>
  <c r="AG8" i="15" l="1"/>
  <c r="AI8" i="15" s="1"/>
  <c r="AG28" i="15"/>
  <c r="AI28" i="15" s="1"/>
  <c r="AG16" i="15"/>
  <c r="AI16" i="15" s="1"/>
  <c r="AG25" i="15"/>
  <c r="AI25" i="15" s="1"/>
  <c r="AG33" i="15"/>
  <c r="AI33" i="15" s="1"/>
  <c r="AG35" i="15"/>
  <c r="AI35" i="15" s="1"/>
  <c r="AG4" i="15"/>
  <c r="AI4" i="15" s="1"/>
  <c r="AG7" i="15"/>
  <c r="AI7" i="15" s="1"/>
  <c r="AG9" i="15"/>
  <c r="AI9" i="15" s="1"/>
  <c r="AG2" i="15"/>
  <c r="AI2" i="15" s="1"/>
  <c r="AG23" i="15"/>
  <c r="AI23" i="15" s="1"/>
  <c r="AG36" i="15"/>
  <c r="AI36" i="15" s="1"/>
  <c r="AG3" i="15"/>
  <c r="AI3" i="15" s="1"/>
  <c r="AG17" i="15"/>
  <c r="AI17" i="15" s="1"/>
  <c r="AG26" i="15"/>
  <c r="AI26" i="15" s="1"/>
  <c r="AG34" i="15"/>
  <c r="AI34" i="15" s="1"/>
  <c r="AG24" i="15"/>
  <c r="AI24" i="15" s="1"/>
  <c r="AG15" i="15"/>
  <c r="AI15" i="15" s="1"/>
  <c r="AG31" i="15"/>
  <c r="AI31" i="15" s="1"/>
  <c r="AG12" i="15"/>
  <c r="AI12" i="15" s="1"/>
  <c r="AG30" i="15"/>
  <c r="AI30" i="15" s="1"/>
  <c r="AG22" i="15"/>
  <c r="AI22" i="15" s="1"/>
  <c r="AG29" i="15"/>
  <c r="AI29" i="15" s="1"/>
  <c r="AG19" i="15"/>
  <c r="AI19" i="15" s="1"/>
  <c r="AG20" i="15"/>
  <c r="AI20" i="15" s="1"/>
  <c r="AG5" i="15"/>
  <c r="AI5" i="15" s="1"/>
  <c r="AG10" i="15"/>
  <c r="AI10" i="15" s="1"/>
  <c r="AG13" i="15"/>
  <c r="AI13" i="15" s="1"/>
  <c r="AG32" i="15"/>
  <c r="AI32" i="15" s="1"/>
  <c r="AG6" i="15"/>
  <c r="AI6" i="15" s="1"/>
  <c r="AG27" i="15"/>
  <c r="AI27" i="15" s="1"/>
  <c r="AG14" i="15"/>
  <c r="AI14" i="15" s="1"/>
  <c r="AG21" i="15"/>
  <c r="AI21" i="15" s="1"/>
  <c r="AG11" i="15"/>
  <c r="AI11" i="15" s="1"/>
  <c r="AG18" i="15"/>
  <c r="AI18" i="15" s="1"/>
  <c r="AI37" i="15"/>
  <c r="AJ37" i="15" s="1"/>
  <c r="J24" i="8"/>
  <c r="F24" i="7"/>
  <c r="AH37" i="1"/>
  <c r="AB37" i="1"/>
  <c r="Y37" i="1"/>
  <c r="V37" i="1"/>
  <c r="S37" i="1"/>
  <c r="P37" i="1"/>
  <c r="M37" i="1"/>
  <c r="J37" i="1"/>
  <c r="G37" i="1"/>
  <c r="D37" i="1"/>
  <c r="B37" i="1"/>
  <c r="C37" i="1" s="1"/>
  <c r="AJ11" i="7"/>
  <c r="AJ32" i="7"/>
  <c r="AI3" i="7"/>
  <c r="AI4" i="7"/>
  <c r="AI5" i="7"/>
  <c r="AI6" i="7"/>
  <c r="AI7" i="7"/>
  <c r="AI8" i="7"/>
  <c r="AI9" i="7"/>
  <c r="AI10" i="7"/>
  <c r="AI11" i="7"/>
  <c r="AI12" i="7"/>
  <c r="AI13" i="7"/>
  <c r="AI14" i="7"/>
  <c r="AI32" i="7"/>
  <c r="AI33" i="7"/>
  <c r="AI2" i="7"/>
  <c r="AF3" i="7"/>
  <c r="AF4" i="7"/>
  <c r="AF5" i="7"/>
  <c r="AF6" i="7"/>
  <c r="AF7" i="7"/>
  <c r="AF8" i="7"/>
  <c r="AF9" i="7"/>
  <c r="AF10" i="7"/>
  <c r="AF11" i="7"/>
  <c r="AF12" i="7"/>
  <c r="AF13" i="7"/>
  <c r="AF14" i="7"/>
  <c r="AF32" i="7"/>
  <c r="AF33" i="7"/>
  <c r="AF2" i="7"/>
  <c r="AC3" i="7"/>
  <c r="AC4" i="7"/>
  <c r="AC5" i="7"/>
  <c r="AC6" i="7"/>
  <c r="AC7" i="7"/>
  <c r="AC8" i="7"/>
  <c r="AC9" i="7"/>
  <c r="AC10" i="7"/>
  <c r="AC11" i="7"/>
  <c r="AC12" i="7"/>
  <c r="AC13" i="7"/>
  <c r="AC14" i="7"/>
  <c r="AC32" i="7"/>
  <c r="AC33" i="7"/>
  <c r="AC2" i="7"/>
  <c r="Z3" i="7"/>
  <c r="Z4" i="7"/>
  <c r="Z5" i="7"/>
  <c r="Z6" i="7"/>
  <c r="Z7" i="7"/>
  <c r="Z8" i="7"/>
  <c r="Z9" i="7"/>
  <c r="Z10" i="7"/>
  <c r="Z11" i="7"/>
  <c r="Z12" i="7"/>
  <c r="Z13" i="7"/>
  <c r="Z14" i="7"/>
  <c r="Z32" i="7"/>
  <c r="Z33" i="7"/>
  <c r="Z2" i="7"/>
  <c r="W3" i="7"/>
  <c r="W4" i="7"/>
  <c r="W5" i="7"/>
  <c r="W6" i="7"/>
  <c r="W7" i="7"/>
  <c r="W8" i="7"/>
  <c r="W9" i="7"/>
  <c r="W10" i="7"/>
  <c r="W11" i="7"/>
  <c r="W12" i="7"/>
  <c r="W13" i="7"/>
  <c r="W14" i="7"/>
  <c r="W32" i="7"/>
  <c r="W33" i="7"/>
  <c r="W2" i="7"/>
  <c r="T3" i="7"/>
  <c r="T4" i="7"/>
  <c r="T5" i="7"/>
  <c r="T6" i="7"/>
  <c r="T7" i="7"/>
  <c r="T8" i="7"/>
  <c r="T9" i="7"/>
  <c r="T10" i="7"/>
  <c r="T11" i="7"/>
  <c r="T12" i="7"/>
  <c r="T13" i="7"/>
  <c r="T14" i="7"/>
  <c r="T32" i="7"/>
  <c r="T33" i="7"/>
  <c r="T2" i="7"/>
  <c r="Q3" i="7"/>
  <c r="Q4" i="7"/>
  <c r="Q5" i="7"/>
  <c r="Q6" i="7"/>
  <c r="Q7" i="7"/>
  <c r="Q8" i="7"/>
  <c r="Q9" i="7"/>
  <c r="Q10" i="7"/>
  <c r="Q11" i="7"/>
  <c r="Q12" i="7"/>
  <c r="Q13" i="7"/>
  <c r="Q14" i="7"/>
  <c r="Q32" i="7"/>
  <c r="Q33" i="7"/>
  <c r="Q2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32" i="7"/>
  <c r="N33" i="7"/>
  <c r="B2" i="7"/>
  <c r="AG12" i="8"/>
  <c r="AG2" i="8"/>
  <c r="AG23" i="8"/>
  <c r="AG14" i="8"/>
  <c r="AG21" i="8"/>
  <c r="AG5" i="8"/>
  <c r="AG13" i="8"/>
  <c r="AG7" i="8"/>
  <c r="AG6" i="8"/>
  <c r="AG3" i="8"/>
  <c r="AG19" i="8"/>
  <c r="AG8" i="8"/>
  <c r="AG20" i="8"/>
  <c r="AG15" i="8"/>
  <c r="AG11" i="8"/>
  <c r="AG17" i="8"/>
  <c r="AG26" i="8"/>
  <c r="AG22" i="8"/>
  <c r="AG18" i="8"/>
  <c r="AG10" i="8"/>
  <c r="AG16" i="8"/>
  <c r="AF12" i="8"/>
  <c r="AF2" i="8"/>
  <c r="AF23" i="8"/>
  <c r="AF14" i="8"/>
  <c r="AF21" i="8"/>
  <c r="AF5" i="8"/>
  <c r="AF13" i="8"/>
  <c r="AF7" i="8"/>
  <c r="AF6" i="8"/>
  <c r="AF3" i="8"/>
  <c r="AF19" i="8"/>
  <c r="AF8" i="8"/>
  <c r="AF20" i="8"/>
  <c r="AF15" i="8"/>
  <c r="AF11" i="8"/>
  <c r="AF17" i="8"/>
  <c r="AF26" i="8"/>
  <c r="AF22" i="8"/>
  <c r="AF18" i="8"/>
  <c r="AF10" i="8"/>
  <c r="AF16" i="8"/>
  <c r="AG9" i="8"/>
  <c r="AF9" i="8"/>
  <c r="AD12" i="8"/>
  <c r="AD2" i="8"/>
  <c r="AD23" i="8"/>
  <c r="AD14" i="8"/>
  <c r="AD21" i="8"/>
  <c r="AD5" i="8"/>
  <c r="AD13" i="8"/>
  <c r="AD7" i="8"/>
  <c r="AD6" i="8"/>
  <c r="AD3" i="8"/>
  <c r="AD19" i="8"/>
  <c r="AD8" i="8"/>
  <c r="AD20" i="8"/>
  <c r="AD15" i="8"/>
  <c r="AD11" i="8"/>
  <c r="AD17" i="8"/>
  <c r="AD26" i="8"/>
  <c r="AD22" i="8"/>
  <c r="AD18" i="8"/>
  <c r="AD10" i="8"/>
  <c r="AD16" i="8"/>
  <c r="AC12" i="8"/>
  <c r="AC2" i="8"/>
  <c r="AC23" i="8"/>
  <c r="AC14" i="8"/>
  <c r="AC21" i="8"/>
  <c r="AC5" i="8"/>
  <c r="AC13" i="8"/>
  <c r="AC7" i="8"/>
  <c r="AC6" i="8"/>
  <c r="AC3" i="8"/>
  <c r="AC19" i="8"/>
  <c r="AC8" i="8"/>
  <c r="AC20" i="8"/>
  <c r="AC15" i="8"/>
  <c r="AC11" i="8"/>
  <c r="AC17" i="8"/>
  <c r="AC26" i="8"/>
  <c r="AC22" i="8"/>
  <c r="AC18" i="8"/>
  <c r="AC10" i="8"/>
  <c r="AC16" i="8"/>
  <c r="AD9" i="8"/>
  <c r="AC9" i="8"/>
  <c r="AA12" i="8"/>
  <c r="AA2" i="8"/>
  <c r="AA23" i="8"/>
  <c r="AA14" i="8"/>
  <c r="AA21" i="8"/>
  <c r="AA5" i="8"/>
  <c r="AA13" i="8"/>
  <c r="AA7" i="8"/>
  <c r="AA6" i="8"/>
  <c r="AA3" i="8"/>
  <c r="AA19" i="8"/>
  <c r="AA8" i="8"/>
  <c r="AA20" i="8"/>
  <c r="AA15" i="8"/>
  <c r="AA11" i="8"/>
  <c r="AA17" i="8"/>
  <c r="AA26" i="8"/>
  <c r="AA22" i="8"/>
  <c r="AA18" i="8"/>
  <c r="AA10" i="8"/>
  <c r="Z12" i="8"/>
  <c r="Z2" i="8"/>
  <c r="Z23" i="8"/>
  <c r="Z14" i="8"/>
  <c r="Z21" i="8"/>
  <c r="Z5" i="8"/>
  <c r="Z13" i="8"/>
  <c r="Z7" i="8"/>
  <c r="Z6" i="8"/>
  <c r="Z3" i="8"/>
  <c r="Z19" i="8"/>
  <c r="Z8" i="8"/>
  <c r="Z20" i="8"/>
  <c r="Z15" i="8"/>
  <c r="Z11" i="8"/>
  <c r="Z17" i="8"/>
  <c r="Z26" i="8"/>
  <c r="Z22" i="8"/>
  <c r="Z18" i="8"/>
  <c r="Z10" i="8"/>
  <c r="Z16" i="8"/>
  <c r="AA9" i="8"/>
  <c r="Z9" i="8"/>
  <c r="X12" i="8"/>
  <c r="X2" i="8"/>
  <c r="X23" i="8"/>
  <c r="X14" i="8"/>
  <c r="X21" i="8"/>
  <c r="X5" i="8"/>
  <c r="X13" i="8"/>
  <c r="X7" i="8"/>
  <c r="X6" i="8"/>
  <c r="X3" i="8"/>
  <c r="X19" i="8"/>
  <c r="X8" i="8"/>
  <c r="X20" i="8"/>
  <c r="X15" i="8"/>
  <c r="X11" i="8"/>
  <c r="X17" i="8"/>
  <c r="X26" i="8"/>
  <c r="X22" i="8"/>
  <c r="X18" i="8"/>
  <c r="X10" i="8"/>
  <c r="X16" i="8"/>
  <c r="W12" i="8"/>
  <c r="W2" i="8"/>
  <c r="W23" i="8"/>
  <c r="W14" i="8"/>
  <c r="W21" i="8"/>
  <c r="W5" i="8"/>
  <c r="W13" i="8"/>
  <c r="W7" i="8"/>
  <c r="W6" i="8"/>
  <c r="W3" i="8"/>
  <c r="W19" i="8"/>
  <c r="W8" i="8"/>
  <c r="W20" i="8"/>
  <c r="W15" i="8"/>
  <c r="W11" i="8"/>
  <c r="W17" i="8"/>
  <c r="W26" i="8"/>
  <c r="W22" i="8"/>
  <c r="W18" i="8"/>
  <c r="W10" i="8"/>
  <c r="W16" i="8"/>
  <c r="X9" i="8"/>
  <c r="W9" i="8"/>
  <c r="U12" i="8"/>
  <c r="U2" i="8"/>
  <c r="U23" i="8"/>
  <c r="U14" i="8"/>
  <c r="U21" i="8"/>
  <c r="U5" i="8"/>
  <c r="U13" i="8"/>
  <c r="U7" i="8"/>
  <c r="U6" i="8"/>
  <c r="U3" i="8"/>
  <c r="U19" i="8"/>
  <c r="U8" i="8"/>
  <c r="U20" i="8"/>
  <c r="U15" i="8"/>
  <c r="U11" i="8"/>
  <c r="U17" i="8"/>
  <c r="U26" i="8"/>
  <c r="U22" i="8"/>
  <c r="U18" i="8"/>
  <c r="U10" i="8"/>
  <c r="U16" i="8"/>
  <c r="T12" i="8"/>
  <c r="T2" i="8"/>
  <c r="T23" i="8"/>
  <c r="T14" i="8"/>
  <c r="T21" i="8"/>
  <c r="T5" i="8"/>
  <c r="T13" i="8"/>
  <c r="T7" i="8"/>
  <c r="T6" i="8"/>
  <c r="T3" i="8"/>
  <c r="T19" i="8"/>
  <c r="T8" i="8"/>
  <c r="T20" i="8"/>
  <c r="T15" i="8"/>
  <c r="T11" i="8"/>
  <c r="T17" i="8"/>
  <c r="T26" i="8"/>
  <c r="T22" i="8"/>
  <c r="T18" i="8"/>
  <c r="T10" i="8"/>
  <c r="T16" i="8"/>
  <c r="U9" i="8"/>
  <c r="T9" i="8"/>
  <c r="Q12" i="8"/>
  <c r="Q2" i="8"/>
  <c r="Q23" i="8"/>
  <c r="Q14" i="8"/>
  <c r="Q21" i="8"/>
  <c r="Q5" i="8"/>
  <c r="Q13" i="8"/>
  <c r="Q7" i="8"/>
  <c r="Q6" i="8"/>
  <c r="Q3" i="8"/>
  <c r="Q19" i="8"/>
  <c r="Q8" i="8"/>
  <c r="Q20" i="8"/>
  <c r="Q15" i="8"/>
  <c r="Q11" i="8"/>
  <c r="Q17" i="8"/>
  <c r="Q26" i="8"/>
  <c r="Q22" i="8"/>
  <c r="Q18" i="8"/>
  <c r="Q10" i="8"/>
  <c r="Q16" i="8"/>
  <c r="R9" i="8"/>
  <c r="Q9" i="8"/>
  <c r="N12" i="8"/>
  <c r="N23" i="8"/>
  <c r="N14" i="8"/>
  <c r="N21" i="8"/>
  <c r="N5" i="8"/>
  <c r="N13" i="8"/>
  <c r="N7" i="8"/>
  <c r="N6" i="8"/>
  <c r="N3" i="8"/>
  <c r="N19" i="8"/>
  <c r="N8" i="8"/>
  <c r="N20" i="8"/>
  <c r="N15" i="8"/>
  <c r="N11" i="8"/>
  <c r="N17" i="8"/>
  <c r="N26" i="8"/>
  <c r="N22" i="8"/>
  <c r="N18" i="8"/>
  <c r="N10" i="8"/>
  <c r="N16" i="8"/>
  <c r="O9" i="8"/>
  <c r="N9" i="8"/>
  <c r="C34" i="7"/>
  <c r="D34" i="7" s="1"/>
  <c r="C36" i="7"/>
  <c r="D36" i="7" s="1"/>
  <c r="AJ12" i="8"/>
  <c r="AJ2" i="8"/>
  <c r="AJ23" i="8"/>
  <c r="AJ14" i="8"/>
  <c r="AJ21" i="8"/>
  <c r="AJ5" i="8"/>
  <c r="AJ13" i="8"/>
  <c r="AJ7" i="8"/>
  <c r="AJ6" i="8"/>
  <c r="AJ3" i="8"/>
  <c r="AJ9" i="8"/>
  <c r="AI12" i="8"/>
  <c r="AI2" i="8"/>
  <c r="AI23" i="8"/>
  <c r="AI14" i="8"/>
  <c r="AI21" i="8"/>
  <c r="AI5" i="8"/>
  <c r="AI13" i="8"/>
  <c r="AI7" i="8"/>
  <c r="AI6" i="8"/>
  <c r="AI3" i="8"/>
  <c r="AI19" i="8"/>
  <c r="AI8" i="8"/>
  <c r="AI20" i="8"/>
  <c r="AI15" i="8"/>
  <c r="AI11" i="8"/>
  <c r="AI17" i="8"/>
  <c r="AI26" i="8"/>
  <c r="AI22" i="8"/>
  <c r="AI18" i="8"/>
  <c r="AI10" i="8"/>
  <c r="AI16" i="8"/>
  <c r="AI9" i="8"/>
  <c r="B12" i="8"/>
  <c r="B2" i="8"/>
  <c r="B23" i="8"/>
  <c r="B14" i="8"/>
  <c r="B21" i="8"/>
  <c r="B5" i="8"/>
  <c r="B13" i="8"/>
  <c r="B7" i="8"/>
  <c r="B6" i="8"/>
  <c r="B3" i="8"/>
  <c r="B19" i="8"/>
  <c r="B8" i="8"/>
  <c r="B20" i="8"/>
  <c r="B15" i="8"/>
  <c r="B11" i="8"/>
  <c r="B17" i="8"/>
  <c r="B26" i="8"/>
  <c r="B22" i="8"/>
  <c r="B18" i="8"/>
  <c r="B10" i="8"/>
  <c r="B16" i="8"/>
  <c r="B9" i="8"/>
  <c r="E9" i="8"/>
  <c r="C8" i="8"/>
  <c r="C12" i="8"/>
  <c r="C2" i="8"/>
  <c r="C23" i="8"/>
  <c r="C14" i="8"/>
  <c r="C21" i="8"/>
  <c r="G21" i="8" s="1"/>
  <c r="C5" i="8"/>
  <c r="C13" i="8"/>
  <c r="C7" i="8"/>
  <c r="C6" i="8"/>
  <c r="C3" i="8"/>
  <c r="C19" i="8"/>
  <c r="C20" i="8"/>
  <c r="C15" i="8"/>
  <c r="C11" i="8"/>
  <c r="C17" i="8"/>
  <c r="C26" i="8"/>
  <c r="C22" i="8"/>
  <c r="C18" i="8"/>
  <c r="C10" i="8"/>
  <c r="C16" i="8"/>
  <c r="C9" i="8"/>
  <c r="K12" i="8"/>
  <c r="K2" i="8"/>
  <c r="K23" i="8"/>
  <c r="K14" i="8"/>
  <c r="K21" i="8"/>
  <c r="K5" i="8"/>
  <c r="K13" i="8"/>
  <c r="K7" i="8"/>
  <c r="K6" i="8"/>
  <c r="K3" i="8"/>
  <c r="K19" i="8"/>
  <c r="K8" i="8"/>
  <c r="K20" i="8"/>
  <c r="K15" i="8"/>
  <c r="K11" i="8"/>
  <c r="K17" i="8"/>
  <c r="K26" i="8"/>
  <c r="K22" i="8"/>
  <c r="K18" i="8"/>
  <c r="K10" i="8"/>
  <c r="K16" i="8"/>
  <c r="K9" i="8"/>
  <c r="AJ11" i="15" l="1"/>
  <c r="AJ6" i="15"/>
  <c r="AL6" i="15" s="1"/>
  <c r="AJ18" i="15"/>
  <c r="AJ10" i="15"/>
  <c r="AL10" i="15" s="1"/>
  <c r="AJ31" i="15"/>
  <c r="AL31" i="15" s="1"/>
  <c r="AJ4" i="15"/>
  <c r="AL4" i="15" s="1"/>
  <c r="AJ27" i="15"/>
  <c r="AL27" i="15" s="1"/>
  <c r="AJ29" i="15"/>
  <c r="AL29" i="15" s="1"/>
  <c r="AJ21" i="15"/>
  <c r="AL21" i="15" s="1"/>
  <c r="AJ32" i="15"/>
  <c r="AL32" i="15" s="1"/>
  <c r="AJ15" i="15"/>
  <c r="AL15" i="15" s="1"/>
  <c r="AJ20" i="15"/>
  <c r="AL20" i="15" s="1"/>
  <c r="AJ2" i="15"/>
  <c r="AL2" i="15" s="1"/>
  <c r="AJ8" i="15"/>
  <c r="AL8" i="15" s="1"/>
  <c r="AJ24" i="15"/>
  <c r="AL24" i="15" s="1"/>
  <c r="AJ19" i="15"/>
  <c r="AL19" i="15" s="1"/>
  <c r="AJ7" i="15"/>
  <c r="AL7" i="15" s="1"/>
  <c r="AJ25" i="15"/>
  <c r="AL25" i="15" s="1"/>
  <c r="AJ9" i="15"/>
  <c r="AL9" i="15" s="1"/>
  <c r="AJ13" i="15"/>
  <c r="AL13" i="15" s="1"/>
  <c r="AJ30" i="15"/>
  <c r="AL30" i="15" s="1"/>
  <c r="AJ34" i="15"/>
  <c r="AL34" i="15" s="1"/>
  <c r="AJ3" i="15"/>
  <c r="AL3" i="15" s="1"/>
  <c r="AJ22" i="15"/>
  <c r="AL22" i="15" s="1"/>
  <c r="AJ26" i="15"/>
  <c r="AL26" i="15" s="1"/>
  <c r="AJ35" i="15"/>
  <c r="AJ14" i="15"/>
  <c r="AL14" i="15" s="1"/>
  <c r="AJ28" i="15"/>
  <c r="AL28" i="15" s="1"/>
  <c r="AJ5" i="15"/>
  <c r="AL5" i="15" s="1"/>
  <c r="AJ12" i="15"/>
  <c r="AL12" i="15" s="1"/>
  <c r="AJ23" i="15"/>
  <c r="AL23" i="15" s="1"/>
  <c r="AJ36" i="15"/>
  <c r="AL36" i="15" s="1"/>
  <c r="AJ16" i="15"/>
  <c r="AL16" i="15" s="1"/>
  <c r="AJ17" i="15"/>
  <c r="AL17" i="15" s="1"/>
  <c r="AJ33" i="15"/>
  <c r="AL33" i="15" s="1"/>
  <c r="AL18" i="15"/>
  <c r="AL11" i="15"/>
  <c r="AL37" i="15"/>
  <c r="AK11" i="7"/>
  <c r="AK32" i="7"/>
  <c r="W37" i="7"/>
  <c r="AF37" i="7"/>
  <c r="Z37" i="7"/>
  <c r="AC37" i="7"/>
  <c r="C33" i="7"/>
  <c r="D33" i="7" s="1"/>
  <c r="C14" i="7"/>
  <c r="C12" i="7"/>
  <c r="C32" i="7"/>
  <c r="D32" i="7" s="1"/>
  <c r="C13" i="7"/>
  <c r="C11" i="7"/>
  <c r="E17" i="1"/>
  <c r="F17" i="1" s="1"/>
  <c r="AM14" i="15" l="1"/>
  <c r="AM19" i="15"/>
  <c r="AM20" i="15"/>
  <c r="AM34" i="15"/>
  <c r="AM4" i="15"/>
  <c r="AM10" i="15"/>
  <c r="AM7" i="15"/>
  <c r="AM33" i="15"/>
  <c r="AM37" i="15"/>
  <c r="AM32" i="15"/>
  <c r="AM31" i="15"/>
  <c r="AM5" i="15"/>
  <c r="AM21" i="15"/>
  <c r="AM6" i="15"/>
  <c r="AM8" i="15"/>
  <c r="AM23" i="15"/>
  <c r="AM26" i="15"/>
  <c r="AM30" i="15"/>
  <c r="AM15" i="15"/>
  <c r="AM11" i="15"/>
  <c r="AM9" i="15"/>
  <c r="AM27" i="15"/>
  <c r="AM16" i="15"/>
  <c r="AM22" i="15"/>
  <c r="AM13" i="15"/>
  <c r="AM24" i="15"/>
  <c r="AM29" i="15"/>
  <c r="AM25" i="15"/>
  <c r="AM18" i="15"/>
  <c r="AM17" i="15"/>
  <c r="AM12" i="15"/>
  <c r="AM28" i="15"/>
  <c r="AM36" i="15"/>
  <c r="AM3" i="15"/>
  <c r="AL35" i="15"/>
  <c r="AJ38" i="15"/>
  <c r="AM2" i="15"/>
  <c r="E18" i="1"/>
  <c r="F18" i="1" s="1"/>
  <c r="E24" i="1"/>
  <c r="F24" i="1" s="1"/>
  <c r="E16" i="1"/>
  <c r="F16" i="1" s="1"/>
  <c r="E13" i="1"/>
  <c r="F13" i="1" s="1"/>
  <c r="E25" i="1"/>
  <c r="F25" i="1" s="1"/>
  <c r="E20" i="1"/>
  <c r="F20" i="1" s="1"/>
  <c r="E23" i="1"/>
  <c r="F23" i="1" s="1"/>
  <c r="E21" i="1"/>
  <c r="F21" i="1" s="1"/>
  <c r="E14" i="1"/>
  <c r="F14" i="1" s="1"/>
  <c r="E19" i="1"/>
  <c r="F19" i="1" s="1"/>
  <c r="E26" i="1"/>
  <c r="F26" i="1" s="1"/>
  <c r="E15" i="1"/>
  <c r="F15" i="1" s="1"/>
  <c r="E22" i="1"/>
  <c r="F22" i="1" s="1"/>
  <c r="E5" i="1"/>
  <c r="F5" i="1" s="1"/>
  <c r="E36" i="1"/>
  <c r="F36" i="1" s="1"/>
  <c r="I9" i="8"/>
  <c r="H12" i="8"/>
  <c r="H2" i="8"/>
  <c r="H23" i="8"/>
  <c r="H14" i="8"/>
  <c r="H21" i="8"/>
  <c r="H5" i="8"/>
  <c r="H13" i="8"/>
  <c r="H7" i="8"/>
  <c r="H6" i="8"/>
  <c r="H3" i="8"/>
  <c r="H19" i="8"/>
  <c r="H8" i="8"/>
  <c r="H20" i="8"/>
  <c r="H15" i="8"/>
  <c r="H11" i="8"/>
  <c r="H17" i="8"/>
  <c r="H26" i="8"/>
  <c r="H22" i="8"/>
  <c r="H18" i="8"/>
  <c r="H10" i="8"/>
  <c r="H16" i="8"/>
  <c r="H9" i="8"/>
  <c r="C25" i="8"/>
  <c r="AM35" i="15" l="1"/>
  <c r="H25" i="8"/>
  <c r="B34" i="2"/>
  <c r="E3" i="7"/>
  <c r="E4" i="7"/>
  <c r="E5" i="7"/>
  <c r="E6" i="7"/>
  <c r="E7" i="7"/>
  <c r="E8" i="7"/>
  <c r="E9" i="7"/>
  <c r="E10" i="7"/>
  <c r="E11" i="7"/>
  <c r="E12" i="7"/>
  <c r="E13" i="7"/>
  <c r="E14" i="7"/>
  <c r="C34" i="4"/>
  <c r="C34" i="5" s="1"/>
  <c r="H17" i="1" s="1"/>
  <c r="I17" i="1" s="1"/>
  <c r="D34" i="4"/>
  <c r="E34" i="4"/>
  <c r="F34" i="4"/>
  <c r="G34" i="4"/>
  <c r="H34" i="4"/>
  <c r="H34" i="5" s="1"/>
  <c r="I34" i="4"/>
  <c r="I34" i="5" s="1"/>
  <c r="J34" i="4"/>
  <c r="J34" i="5" s="1"/>
  <c r="K34" i="4"/>
  <c r="K34" i="5" s="1"/>
  <c r="L34" i="4"/>
  <c r="L34" i="5" s="1"/>
  <c r="M34" i="4"/>
  <c r="B34" i="4"/>
  <c r="E12" i="8"/>
  <c r="G12" i="8" s="1"/>
  <c r="E2" i="8"/>
  <c r="G2" i="8" s="1"/>
  <c r="E23" i="8"/>
  <c r="G23" i="8" s="1"/>
  <c r="E14" i="8"/>
  <c r="G14" i="8" s="1"/>
  <c r="E5" i="8"/>
  <c r="G5" i="8" s="1"/>
  <c r="E13" i="8"/>
  <c r="G13" i="8" s="1"/>
  <c r="E7" i="8"/>
  <c r="G7" i="8" s="1"/>
  <c r="E6" i="8"/>
  <c r="G6" i="8" s="1"/>
  <c r="E3" i="8"/>
  <c r="G3" i="8" s="1"/>
  <c r="E19" i="8"/>
  <c r="G19" i="8" s="1"/>
  <c r="E8" i="8"/>
  <c r="G8" i="8" s="1"/>
  <c r="E20" i="8"/>
  <c r="G20" i="8" s="1"/>
  <c r="E15" i="8"/>
  <c r="G15" i="8" s="1"/>
  <c r="E17" i="8"/>
  <c r="G17" i="8" s="1"/>
  <c r="E26" i="8"/>
  <c r="G26" i="8" s="1"/>
  <c r="F19" i="7" s="1"/>
  <c r="E22" i="8"/>
  <c r="G22" i="8" s="1"/>
  <c r="F20" i="7" s="1"/>
  <c r="E18" i="8"/>
  <c r="G18" i="8" s="1"/>
  <c r="F21" i="7" s="1"/>
  <c r="E10" i="8"/>
  <c r="G10" i="8" s="1"/>
  <c r="F22" i="7" s="1"/>
  <c r="E16" i="8"/>
  <c r="G16" i="8" s="1"/>
  <c r="F23" i="7" s="1"/>
  <c r="F12" i="8"/>
  <c r="F2" i="8"/>
  <c r="F23" i="8"/>
  <c r="F14" i="8"/>
  <c r="F21" i="8"/>
  <c r="J21" i="8" s="1"/>
  <c r="M21" i="8" s="1"/>
  <c r="P21" i="8" s="1"/>
  <c r="S21" i="8" s="1"/>
  <c r="V21" i="8" s="1"/>
  <c r="Y21" i="8" s="1"/>
  <c r="AB21" i="8" s="1"/>
  <c r="AE21" i="8" s="1"/>
  <c r="AH21" i="8" s="1"/>
  <c r="F5" i="8"/>
  <c r="J5" i="8" s="1"/>
  <c r="M5" i="8" s="1"/>
  <c r="P5" i="8" s="1"/>
  <c r="S5" i="8" s="1"/>
  <c r="V5" i="8" s="1"/>
  <c r="Y5" i="8" s="1"/>
  <c r="AB5" i="8" s="1"/>
  <c r="AE5" i="8" s="1"/>
  <c r="AH5" i="8" s="1"/>
  <c r="F13" i="8"/>
  <c r="F7" i="8"/>
  <c r="F6" i="8"/>
  <c r="F3" i="8"/>
  <c r="F19" i="8"/>
  <c r="F8" i="8"/>
  <c r="F20" i="8"/>
  <c r="F15" i="8"/>
  <c r="F11" i="8"/>
  <c r="F17" i="8"/>
  <c r="F26" i="8"/>
  <c r="F22" i="8"/>
  <c r="F18" i="8"/>
  <c r="F10" i="8"/>
  <c r="F16" i="8"/>
  <c r="F9" i="8"/>
  <c r="K3" i="7"/>
  <c r="K4" i="7"/>
  <c r="K5" i="7"/>
  <c r="K6" i="7"/>
  <c r="K7" i="7"/>
  <c r="K8" i="7"/>
  <c r="K9" i="7"/>
  <c r="K10" i="7"/>
  <c r="K11" i="7"/>
  <c r="K12" i="7"/>
  <c r="K13" i="7"/>
  <c r="K14" i="7"/>
  <c r="K32" i="7"/>
  <c r="K33" i="7"/>
  <c r="K2" i="7"/>
  <c r="AI25" i="8"/>
  <c r="AF25" i="8"/>
  <c r="AC25" i="8"/>
  <c r="W25" i="8"/>
  <c r="T25" i="8"/>
  <c r="Q25" i="8"/>
  <c r="K25" i="8"/>
  <c r="Z4" i="8"/>
  <c r="Z25" i="8" s="1"/>
  <c r="N4" i="8"/>
  <c r="AL24" i="8"/>
  <c r="AL21" i="8"/>
  <c r="P36" i="7"/>
  <c r="T36" i="7"/>
  <c r="X36" i="7"/>
  <c r="AD36" i="7"/>
  <c r="AH36" i="7"/>
  <c r="H3" i="7"/>
  <c r="H4" i="7"/>
  <c r="H5" i="7"/>
  <c r="H6" i="7"/>
  <c r="H7" i="7"/>
  <c r="H8" i="7"/>
  <c r="H9" i="7"/>
  <c r="H10" i="7"/>
  <c r="H11" i="7"/>
  <c r="H12" i="7"/>
  <c r="H13" i="7"/>
  <c r="H14" i="7"/>
  <c r="H32" i="7"/>
  <c r="H33" i="7"/>
  <c r="H2" i="7"/>
  <c r="AI37" i="7"/>
  <c r="E2" i="7"/>
  <c r="B3" i="7"/>
  <c r="D11" i="7"/>
  <c r="D12" i="7"/>
  <c r="D13" i="7"/>
  <c r="D14" i="7"/>
  <c r="E11" i="8"/>
  <c r="G11" i="8" s="1"/>
  <c r="AL34" i="7"/>
  <c r="AJ24" i="8" l="1"/>
  <c r="M34" i="5"/>
  <c r="H21" i="1"/>
  <c r="I21" i="1" s="1"/>
  <c r="H25" i="1"/>
  <c r="I25" i="1" s="1"/>
  <c r="H24" i="1"/>
  <c r="I24" i="1" s="1"/>
  <c r="I24" i="8"/>
  <c r="M24" i="8" s="1"/>
  <c r="L34" i="7" s="1"/>
  <c r="M34" i="7" s="1"/>
  <c r="D34" i="5"/>
  <c r="H15" i="1"/>
  <c r="I15" i="1" s="1"/>
  <c r="H14" i="1"/>
  <c r="I14" i="1" s="1"/>
  <c r="H20" i="1"/>
  <c r="I20" i="1" s="1"/>
  <c r="H36" i="1"/>
  <c r="I36" i="1" s="1"/>
  <c r="H16" i="1"/>
  <c r="I16" i="1" s="1"/>
  <c r="H22" i="1"/>
  <c r="I22" i="1" s="1"/>
  <c r="H19" i="1"/>
  <c r="I19" i="1" s="1"/>
  <c r="H13" i="1"/>
  <c r="I13" i="1" s="1"/>
  <c r="H18" i="1"/>
  <c r="I18" i="1" s="1"/>
  <c r="H26" i="1"/>
  <c r="I26" i="1" s="1"/>
  <c r="H23" i="1"/>
  <c r="I23" i="1" s="1"/>
  <c r="L24" i="8"/>
  <c r="E34" i="5"/>
  <c r="R24" i="8"/>
  <c r="G34" i="5"/>
  <c r="O24" i="8"/>
  <c r="F34" i="5"/>
  <c r="F18" i="7"/>
  <c r="F16" i="7"/>
  <c r="F15" i="7"/>
  <c r="J11" i="8"/>
  <c r="F17" i="7"/>
  <c r="J2" i="8"/>
  <c r="M2" i="8" s="1"/>
  <c r="P2" i="8" s="1"/>
  <c r="S2" i="8" s="1"/>
  <c r="V2" i="8" s="1"/>
  <c r="Y2" i="8" s="1"/>
  <c r="AB2" i="8" s="1"/>
  <c r="AE2" i="8" s="1"/>
  <c r="AH2" i="8" s="1"/>
  <c r="J14" i="8"/>
  <c r="M14" i="8" s="1"/>
  <c r="P14" i="8" s="1"/>
  <c r="S14" i="8" s="1"/>
  <c r="V14" i="8" s="1"/>
  <c r="Y14" i="8" s="1"/>
  <c r="AB14" i="8" s="1"/>
  <c r="AE14" i="8" s="1"/>
  <c r="AH14" i="8" s="1"/>
  <c r="H37" i="7"/>
  <c r="J22" i="8"/>
  <c r="J15" i="8"/>
  <c r="J3" i="8"/>
  <c r="M3" i="8" s="1"/>
  <c r="P3" i="8" s="1"/>
  <c r="S3" i="8" s="1"/>
  <c r="V3" i="8" s="1"/>
  <c r="Y3" i="8" s="1"/>
  <c r="AB3" i="8" s="1"/>
  <c r="AE3" i="8" s="1"/>
  <c r="AH3" i="8" s="1"/>
  <c r="J18" i="8"/>
  <c r="J19" i="8"/>
  <c r="M19" i="8" s="1"/>
  <c r="P19" i="8" s="1"/>
  <c r="S19" i="8" s="1"/>
  <c r="V19" i="8" s="1"/>
  <c r="Y19" i="8" s="1"/>
  <c r="AB19" i="8" s="1"/>
  <c r="AE19" i="8" s="1"/>
  <c r="AH19" i="8" s="1"/>
  <c r="J13" i="8"/>
  <c r="M13" i="8" s="1"/>
  <c r="P13" i="8" s="1"/>
  <c r="S13" i="8" s="1"/>
  <c r="V13" i="8" s="1"/>
  <c r="Y13" i="8" s="1"/>
  <c r="AB13" i="8" s="1"/>
  <c r="AE13" i="8" s="1"/>
  <c r="AH13" i="8" s="1"/>
  <c r="I13" i="7"/>
  <c r="J13" i="7" s="1"/>
  <c r="J23" i="8"/>
  <c r="M23" i="8" s="1"/>
  <c r="P23" i="8" s="1"/>
  <c r="S23" i="8" s="1"/>
  <c r="V23" i="8" s="1"/>
  <c r="Y23" i="8" s="1"/>
  <c r="AB23" i="8" s="1"/>
  <c r="AE23" i="8" s="1"/>
  <c r="AH23" i="8" s="1"/>
  <c r="E37" i="7"/>
  <c r="J12" i="8"/>
  <c r="M12" i="8" s="1"/>
  <c r="P12" i="8" s="1"/>
  <c r="S12" i="8" s="1"/>
  <c r="V12" i="8" s="1"/>
  <c r="Y12" i="8" s="1"/>
  <c r="AB12" i="8" s="1"/>
  <c r="AE12" i="8" s="1"/>
  <c r="AH12" i="8" s="1"/>
  <c r="J10" i="8"/>
  <c r="J17" i="8"/>
  <c r="J8" i="8"/>
  <c r="M8" i="8" s="1"/>
  <c r="P8" i="8" s="1"/>
  <c r="S8" i="8" s="1"/>
  <c r="V8" i="8" s="1"/>
  <c r="Y8" i="8" s="1"/>
  <c r="AB8" i="8" s="1"/>
  <c r="AE8" i="8" s="1"/>
  <c r="AH8" i="8" s="1"/>
  <c r="J7" i="8"/>
  <c r="M7" i="8" s="1"/>
  <c r="P7" i="8" s="1"/>
  <c r="S7" i="8" s="1"/>
  <c r="V7" i="8" s="1"/>
  <c r="Y7" i="8" s="1"/>
  <c r="AB7" i="8" s="1"/>
  <c r="AE7" i="8" s="1"/>
  <c r="AH7" i="8" s="1"/>
  <c r="J16" i="8"/>
  <c r="J26" i="8"/>
  <c r="J20" i="8"/>
  <c r="J6" i="8"/>
  <c r="M6" i="8" s="1"/>
  <c r="P6" i="8" s="1"/>
  <c r="S6" i="8" s="1"/>
  <c r="V6" i="8" s="1"/>
  <c r="Y6" i="8" s="1"/>
  <c r="AB6" i="8" s="1"/>
  <c r="AE6" i="8" s="1"/>
  <c r="AH6" i="8" s="1"/>
  <c r="N25" i="8"/>
  <c r="AL16" i="8"/>
  <c r="G32" i="7"/>
  <c r="F13" i="7"/>
  <c r="G13" i="7" s="1"/>
  <c r="F11" i="7"/>
  <c r="G11" i="7" s="1"/>
  <c r="G33" i="7"/>
  <c r="F14" i="7"/>
  <c r="G14" i="7" s="1"/>
  <c r="F12" i="7"/>
  <c r="G12" i="7" s="1"/>
  <c r="AL5" i="8"/>
  <c r="AL15" i="8"/>
  <c r="AL26" i="8"/>
  <c r="AL20" i="8"/>
  <c r="AL6" i="8"/>
  <c r="AL12" i="8"/>
  <c r="AL11" i="8"/>
  <c r="AL19" i="8"/>
  <c r="AL13" i="8"/>
  <c r="AL23" i="8"/>
  <c r="B25" i="8"/>
  <c r="AL22" i="8"/>
  <c r="AL3" i="8"/>
  <c r="AL2" i="8"/>
  <c r="AL18" i="8"/>
  <c r="E25" i="8"/>
  <c r="G25" i="8" s="1"/>
  <c r="AL10" i="8"/>
  <c r="AL17" i="8"/>
  <c r="AL8" i="8"/>
  <c r="AL7" i="8"/>
  <c r="AL14" i="8"/>
  <c r="AL9" i="8"/>
  <c r="AL36" i="7"/>
  <c r="B37" i="7"/>
  <c r="AL4" i="8"/>
  <c r="K36" i="1" l="1"/>
  <c r="L36" i="1" s="1"/>
  <c r="K21" i="1"/>
  <c r="L21" i="1" s="1"/>
  <c r="K23" i="1"/>
  <c r="L23" i="1" s="1"/>
  <c r="K20" i="1"/>
  <c r="L20" i="1" s="1"/>
  <c r="K26" i="1"/>
  <c r="L26" i="1" s="1"/>
  <c r="K22" i="1"/>
  <c r="K14" i="1"/>
  <c r="L14" i="1" s="1"/>
  <c r="K24" i="1"/>
  <c r="L24" i="1" s="1"/>
  <c r="K19" i="1"/>
  <c r="L19" i="1" s="1"/>
  <c r="K18" i="1"/>
  <c r="L18" i="1" s="1"/>
  <c r="K16" i="1"/>
  <c r="L16" i="1" s="1"/>
  <c r="K15" i="1"/>
  <c r="L15" i="1" s="1"/>
  <c r="K25" i="1"/>
  <c r="L25" i="1" s="1"/>
  <c r="P24" i="8"/>
  <c r="S24" i="8" s="1"/>
  <c r="V24" i="8" s="1"/>
  <c r="Y24" i="8" s="1"/>
  <c r="AB24" i="8" s="1"/>
  <c r="AE24" i="8" s="1"/>
  <c r="AH24" i="8" s="1"/>
  <c r="AM24" i="8" s="1"/>
  <c r="AN24" i="8" s="1"/>
  <c r="K17" i="1"/>
  <c r="L17" i="1" s="1"/>
  <c r="K13" i="1"/>
  <c r="L13" i="1" s="1"/>
  <c r="F26" i="7"/>
  <c r="F25" i="7"/>
  <c r="M20" i="8"/>
  <c r="I15" i="7"/>
  <c r="M18" i="8"/>
  <c r="I21" i="7"/>
  <c r="I29" i="7"/>
  <c r="M26" i="8"/>
  <c r="I19" i="7"/>
  <c r="I27" i="7"/>
  <c r="M17" i="8"/>
  <c r="I26" i="7"/>
  <c r="I18" i="7"/>
  <c r="M15" i="8"/>
  <c r="I24" i="7"/>
  <c r="I16" i="7"/>
  <c r="M16" i="8"/>
  <c r="I23" i="7"/>
  <c r="I31" i="7"/>
  <c r="M10" i="8"/>
  <c r="I30" i="7"/>
  <c r="I22" i="7"/>
  <c r="M22" i="8"/>
  <c r="I28" i="7"/>
  <c r="I20" i="7"/>
  <c r="M11" i="8"/>
  <c r="L11" i="7" s="1"/>
  <c r="M11" i="7" s="1"/>
  <c r="I17" i="7"/>
  <c r="I25" i="7"/>
  <c r="L12" i="7"/>
  <c r="M12" i="7" s="1"/>
  <c r="I14" i="7"/>
  <c r="J14" i="7" s="1"/>
  <c r="I33" i="7"/>
  <c r="J33" i="7" s="1"/>
  <c r="I11" i="7"/>
  <c r="J11" i="7" s="1"/>
  <c r="I32" i="7"/>
  <c r="J32" i="7" s="1"/>
  <c r="I12" i="7"/>
  <c r="J12" i="7" s="1"/>
  <c r="L14" i="7"/>
  <c r="M14" i="7" s="1"/>
  <c r="L13" i="7"/>
  <c r="M13" i="7" s="1"/>
  <c r="AL25" i="8"/>
  <c r="L22" i="1" l="1"/>
  <c r="N22" i="1" s="1"/>
  <c r="O22" i="1" s="1"/>
  <c r="N26" i="1"/>
  <c r="O26" i="1" s="1"/>
  <c r="N15" i="1"/>
  <c r="O15" i="1" s="1"/>
  <c r="N18" i="1"/>
  <c r="O18" i="1" s="1"/>
  <c r="N21" i="1"/>
  <c r="O21" i="1" s="1"/>
  <c r="N25" i="1"/>
  <c r="O25" i="1" s="1"/>
  <c r="N23" i="1"/>
  <c r="O23" i="1" s="1"/>
  <c r="N13" i="1"/>
  <c r="O13" i="1" s="1"/>
  <c r="N24" i="1"/>
  <c r="O24" i="1" s="1"/>
  <c r="N17" i="1"/>
  <c r="O17" i="1" s="1"/>
  <c r="N14" i="1"/>
  <c r="O14" i="1" s="1"/>
  <c r="N36" i="1"/>
  <c r="O36" i="1" s="1"/>
  <c r="N20" i="1"/>
  <c r="O20" i="1" s="1"/>
  <c r="N19" i="1"/>
  <c r="O19" i="1" s="1"/>
  <c r="N16" i="1"/>
  <c r="O16" i="1" s="1"/>
  <c r="AA34" i="7"/>
  <c r="AB34" i="7" s="1"/>
  <c r="P11" i="8"/>
  <c r="S11" i="8" s="1"/>
  <c r="V11" i="8" s="1"/>
  <c r="Y11" i="8" s="1"/>
  <c r="AB11" i="8" s="1"/>
  <c r="L25" i="7"/>
  <c r="L17" i="7"/>
  <c r="P15" i="8"/>
  <c r="S15" i="8" s="1"/>
  <c r="V15" i="8" s="1"/>
  <c r="Y15" i="8" s="1"/>
  <c r="AB15" i="8" s="1"/>
  <c r="L16" i="7"/>
  <c r="L24" i="7"/>
  <c r="P16" i="8"/>
  <c r="S16" i="8" s="1"/>
  <c r="V16" i="8" s="1"/>
  <c r="Y16" i="8" s="1"/>
  <c r="AB16" i="8" s="1"/>
  <c r="L31" i="7"/>
  <c r="L23" i="7"/>
  <c r="P18" i="8"/>
  <c r="S18" i="8" s="1"/>
  <c r="V18" i="8" s="1"/>
  <c r="Y18" i="8" s="1"/>
  <c r="AB18" i="8" s="1"/>
  <c r="L29" i="7"/>
  <c r="L21" i="7"/>
  <c r="L33" i="7"/>
  <c r="M33" i="7" s="1"/>
  <c r="P10" i="8"/>
  <c r="S10" i="8" s="1"/>
  <c r="V10" i="8" s="1"/>
  <c r="Y10" i="8" s="1"/>
  <c r="AB10" i="8" s="1"/>
  <c r="L30" i="7"/>
  <c r="L22" i="7"/>
  <c r="P26" i="8"/>
  <c r="S26" i="8" s="1"/>
  <c r="V26" i="8" s="1"/>
  <c r="Y26" i="8" s="1"/>
  <c r="AB26" i="8" s="1"/>
  <c r="L27" i="7"/>
  <c r="L19" i="7"/>
  <c r="P22" i="8"/>
  <c r="S22" i="8" s="1"/>
  <c r="V22" i="8" s="1"/>
  <c r="Y22" i="8" s="1"/>
  <c r="AB22" i="8" s="1"/>
  <c r="L20" i="7"/>
  <c r="L28" i="7"/>
  <c r="P17" i="8"/>
  <c r="S17" i="8" s="1"/>
  <c r="V17" i="8" s="1"/>
  <c r="Y17" i="8" s="1"/>
  <c r="AB17" i="8" s="1"/>
  <c r="L18" i="7"/>
  <c r="L26" i="7"/>
  <c r="P20" i="8"/>
  <c r="S20" i="8" s="1"/>
  <c r="V20" i="8" s="1"/>
  <c r="Y20" i="8" s="1"/>
  <c r="AB20" i="8" s="1"/>
  <c r="L15" i="7"/>
  <c r="L32" i="7"/>
  <c r="M32" i="7" s="1"/>
  <c r="O12" i="7"/>
  <c r="O13" i="7"/>
  <c r="O14" i="7"/>
  <c r="O11" i="7"/>
  <c r="O32" i="7" l="1"/>
  <c r="P32" i="7" s="1"/>
  <c r="AE17" i="8"/>
  <c r="AH17" i="8" s="1"/>
  <c r="AA18" i="7"/>
  <c r="AB18" i="7" s="1"/>
  <c r="AA26" i="7"/>
  <c r="AB26" i="7" s="1"/>
  <c r="AA23" i="7"/>
  <c r="AB23" i="7" s="1"/>
  <c r="AA31" i="7"/>
  <c r="AB31" i="7" s="1"/>
  <c r="AE22" i="8"/>
  <c r="AH22" i="8" s="1"/>
  <c r="AA20" i="7"/>
  <c r="AB20" i="7" s="1"/>
  <c r="AA28" i="7"/>
  <c r="AB28" i="7" s="1"/>
  <c r="AE20" i="8"/>
  <c r="AH20" i="8" s="1"/>
  <c r="AA15" i="7"/>
  <c r="AB15" i="7" s="1"/>
  <c r="AE10" i="8"/>
  <c r="AH10" i="8" s="1"/>
  <c r="AA22" i="7"/>
  <c r="AB22" i="7" s="1"/>
  <c r="AA30" i="7"/>
  <c r="AB30" i="7" s="1"/>
  <c r="AE18" i="8"/>
  <c r="AH18" i="8" s="1"/>
  <c r="AA21" i="7"/>
  <c r="AB21" i="7" s="1"/>
  <c r="AA29" i="7"/>
  <c r="AB29" i="7" s="1"/>
  <c r="AE15" i="8"/>
  <c r="AH15" i="8" s="1"/>
  <c r="AA16" i="7"/>
  <c r="AB16" i="7" s="1"/>
  <c r="AA24" i="7"/>
  <c r="AB24" i="7" s="1"/>
  <c r="O33" i="7"/>
  <c r="P33" i="7" s="1"/>
  <c r="AE26" i="8"/>
  <c r="AH26" i="8" s="1"/>
  <c r="AA19" i="7"/>
  <c r="AB19" i="7" s="1"/>
  <c r="AA27" i="7"/>
  <c r="AB27" i="7" s="1"/>
  <c r="AE11" i="8"/>
  <c r="AH11" i="8" s="1"/>
  <c r="AA25" i="7"/>
  <c r="AB25" i="7" s="1"/>
  <c r="AA17" i="7"/>
  <c r="AB17" i="7" s="1"/>
  <c r="P11" i="7"/>
  <c r="P14" i="7"/>
  <c r="P13" i="7"/>
  <c r="P12" i="7"/>
  <c r="R32" i="7"/>
  <c r="S32" i="7" s="1"/>
  <c r="R33" i="7"/>
  <c r="S33" i="7" s="1"/>
  <c r="R11" i="7"/>
  <c r="S11" i="7" s="1"/>
  <c r="R14" i="7"/>
  <c r="S14" i="7" s="1"/>
  <c r="R13" i="7"/>
  <c r="S13" i="7" s="1"/>
  <c r="R12" i="7"/>
  <c r="S12" i="7" s="1"/>
  <c r="U12" i="7" l="1"/>
  <c r="V12" i="7" s="1"/>
  <c r="U13" i="7"/>
  <c r="V13" i="7" s="1"/>
  <c r="U14" i="7"/>
  <c r="V14" i="7" s="1"/>
  <c r="U11" i="7"/>
  <c r="V11" i="7" s="1"/>
  <c r="U33" i="7"/>
  <c r="V33" i="7" s="1"/>
  <c r="U32" i="7"/>
  <c r="V32" i="7" s="1"/>
  <c r="X32" i="7" l="1"/>
  <c r="X33" i="7"/>
  <c r="Y33" i="7" s="1"/>
  <c r="X11" i="7"/>
  <c r="Y11" i="7" s="1"/>
  <c r="X14" i="7"/>
  <c r="Y14" i="7" s="1"/>
  <c r="AA16" i="8"/>
  <c r="AE16" i="8" s="1"/>
  <c r="AH16" i="8" s="1"/>
  <c r="X13" i="7"/>
  <c r="X12" i="7"/>
  <c r="Y12" i="7" s="1"/>
  <c r="AL14" i="7" l="1"/>
  <c r="AL33" i="7"/>
  <c r="Y13" i="7"/>
  <c r="AL13" i="7"/>
  <c r="Y32" i="7"/>
  <c r="AL32" i="7"/>
  <c r="AL12" i="7"/>
  <c r="AL11" i="7"/>
  <c r="AA12" i="7"/>
  <c r="AB12" i="7" s="1"/>
  <c r="AA13" i="7"/>
  <c r="AB13" i="7" s="1"/>
  <c r="AA14" i="7"/>
  <c r="AB14" i="7" s="1"/>
  <c r="AA11" i="7"/>
  <c r="AB11" i="7" s="1"/>
  <c r="AA33" i="7"/>
  <c r="AB33" i="7" s="1"/>
  <c r="AA32" i="7"/>
  <c r="AB32" i="7" s="1"/>
  <c r="Q36" i="1" l="1"/>
  <c r="R36" i="1" s="1"/>
  <c r="Q17" i="1"/>
  <c r="R17" i="1" s="1"/>
  <c r="Q21" i="1"/>
  <c r="R21" i="1" s="1"/>
  <c r="Q23" i="1"/>
  <c r="R23" i="1" s="1"/>
  <c r="Q13" i="1"/>
  <c r="R13" i="1" s="1"/>
  <c r="Q15" i="1"/>
  <c r="R15" i="1" s="1"/>
  <c r="Q26" i="1"/>
  <c r="R26" i="1" s="1"/>
  <c r="Q25" i="1"/>
  <c r="R25" i="1" s="1"/>
  <c r="Q19" i="1"/>
  <c r="R19" i="1" s="1"/>
  <c r="Q18" i="1"/>
  <c r="R18" i="1" s="1"/>
  <c r="Q22" i="1"/>
  <c r="R22" i="1" s="1"/>
  <c r="Q20" i="1"/>
  <c r="R20" i="1" s="1"/>
  <c r="Q24" i="1"/>
  <c r="R24" i="1" s="1"/>
  <c r="Q14" i="1"/>
  <c r="R14" i="1" s="1"/>
  <c r="Q16" i="1"/>
  <c r="R16" i="1" s="1"/>
  <c r="AD11" i="7"/>
  <c r="AE11" i="7" s="1"/>
  <c r="AD13" i="7"/>
  <c r="AE13" i="7" s="1"/>
  <c r="AD12" i="7"/>
  <c r="AE12" i="7" s="1"/>
  <c r="AK16" i="8"/>
  <c r="AJ33" i="7" s="1"/>
  <c r="AK33" i="7" s="1"/>
  <c r="AM16" i="8"/>
  <c r="AN16" i="8" s="1"/>
  <c r="AD32" i="7"/>
  <c r="AE32" i="7" s="1"/>
  <c r="AD33" i="7"/>
  <c r="AE33" i="7" s="1"/>
  <c r="AD14" i="7"/>
  <c r="AE14" i="7" s="1"/>
  <c r="AE37" i="1"/>
  <c r="T20" i="1" l="1"/>
  <c r="U20" i="1" s="1"/>
  <c r="T25" i="1"/>
  <c r="U25" i="1" s="1"/>
  <c r="T16" i="1"/>
  <c r="U16" i="1" s="1"/>
  <c r="T26" i="1"/>
  <c r="U26" i="1" s="1"/>
  <c r="T18" i="1"/>
  <c r="U18" i="1" s="1"/>
  <c r="T15" i="1"/>
  <c r="U15" i="1" s="1"/>
  <c r="T17" i="1"/>
  <c r="U17" i="1" s="1"/>
  <c r="T23" i="1"/>
  <c r="U23" i="1" s="1"/>
  <c r="T22" i="1"/>
  <c r="U22" i="1" s="1"/>
  <c r="T21" i="1"/>
  <c r="U21" i="1" s="1"/>
  <c r="T14" i="1"/>
  <c r="U14" i="1" s="1"/>
  <c r="T24" i="1"/>
  <c r="U24" i="1" s="1"/>
  <c r="T19" i="1"/>
  <c r="U19" i="1" s="1"/>
  <c r="T13" i="1"/>
  <c r="U13" i="1" s="1"/>
  <c r="T36" i="1"/>
  <c r="AG33" i="7"/>
  <c r="AH33" i="7" s="1"/>
  <c r="AM33" i="7" s="1"/>
  <c r="AN33" i="7" s="1"/>
  <c r="AM15" i="8"/>
  <c r="AN15" i="8" s="1"/>
  <c r="AK10" i="8"/>
  <c r="AM10" i="8"/>
  <c r="AN10" i="8" s="1"/>
  <c r="AG13" i="7"/>
  <c r="AH13" i="7" s="1"/>
  <c r="AM13" i="7" s="1"/>
  <c r="AN13" i="7" s="1"/>
  <c r="AM19" i="8"/>
  <c r="AN19" i="8" s="1"/>
  <c r="AM18" i="8"/>
  <c r="AN18" i="8" s="1"/>
  <c r="AM11" i="8"/>
  <c r="AN11" i="8" s="1"/>
  <c r="AG11" i="7"/>
  <c r="AH11" i="7" s="1"/>
  <c r="AM6" i="8"/>
  <c r="AN6" i="8" s="1"/>
  <c r="AM17" i="8"/>
  <c r="AN17" i="8" s="1"/>
  <c r="AM26" i="8"/>
  <c r="AN26" i="8" s="1"/>
  <c r="AG14" i="7"/>
  <c r="AH14" i="7" s="1"/>
  <c r="AM14" i="7" s="1"/>
  <c r="AN14" i="7" s="1"/>
  <c r="AM8" i="8"/>
  <c r="AN8" i="8" s="1"/>
  <c r="AG32" i="7"/>
  <c r="AH32" i="7" s="1"/>
  <c r="AM32" i="7" s="1"/>
  <c r="AN32" i="7" s="1"/>
  <c r="AM20" i="8"/>
  <c r="AN20" i="8" s="1"/>
  <c r="AG12" i="7"/>
  <c r="AH12" i="7" s="1"/>
  <c r="AM12" i="7" s="1"/>
  <c r="AN12" i="7" s="1"/>
  <c r="AM3" i="8"/>
  <c r="AN3" i="8" s="1"/>
  <c r="AM22" i="8"/>
  <c r="AN22" i="8" s="1"/>
  <c r="AM36" i="7"/>
  <c r="AN36" i="7" s="1"/>
  <c r="AM11" i="7"/>
  <c r="AN11" i="7" s="1"/>
  <c r="AM34" i="7"/>
  <c r="AN34" i="7" s="1"/>
  <c r="E35" i="1"/>
  <c r="F35" i="1" s="1"/>
  <c r="E34" i="1"/>
  <c r="F34" i="1" s="1"/>
  <c r="U36" i="1" l="1"/>
  <c r="W36" i="1" s="1"/>
  <c r="X36" i="1" s="1"/>
  <c r="Z36" i="1" s="1"/>
  <c r="AA36" i="1" s="1"/>
  <c r="W24" i="1"/>
  <c r="X24" i="1" s="1"/>
  <c r="W23" i="1"/>
  <c r="X23" i="1" s="1"/>
  <c r="W26" i="1"/>
  <c r="X26" i="1" s="1"/>
  <c r="W21" i="1"/>
  <c r="X21" i="1" s="1"/>
  <c r="W14" i="1"/>
  <c r="X14" i="1" s="1"/>
  <c r="W17" i="1"/>
  <c r="X17" i="1" s="1"/>
  <c r="W16" i="1"/>
  <c r="X16" i="1" s="1"/>
  <c r="W13" i="1"/>
  <c r="X13" i="1" s="1"/>
  <c r="W15" i="1"/>
  <c r="X15" i="1" s="1"/>
  <c r="W25" i="1"/>
  <c r="X25" i="1" s="1"/>
  <c r="W19" i="1"/>
  <c r="X19" i="1" s="1"/>
  <c r="W22" i="1"/>
  <c r="X22" i="1" s="1"/>
  <c r="W18" i="1"/>
  <c r="X18" i="1" s="1"/>
  <c r="W20" i="1"/>
  <c r="X20" i="1" s="1"/>
  <c r="H34" i="1"/>
  <c r="I34" i="1" s="1"/>
  <c r="H35" i="1"/>
  <c r="I35" i="1" s="1"/>
  <c r="Z16" i="1" l="1"/>
  <c r="AA16" i="1" s="1"/>
  <c r="Z22" i="1"/>
  <c r="AA22" i="1" s="1"/>
  <c r="Z13" i="1"/>
  <c r="AA13" i="1" s="1"/>
  <c r="Z19" i="1"/>
  <c r="AA19" i="1" s="1"/>
  <c r="Z26" i="1"/>
  <c r="AA26" i="1" s="1"/>
  <c r="Z20" i="1"/>
  <c r="AA20" i="1" s="1"/>
  <c r="Z25" i="1"/>
  <c r="AA25" i="1" s="1"/>
  <c r="Z17" i="1"/>
  <c r="AA17" i="1" s="1"/>
  <c r="Z23" i="1"/>
  <c r="AA23" i="1" s="1"/>
  <c r="Z21" i="1"/>
  <c r="AA21" i="1" s="1"/>
  <c r="Z18" i="1"/>
  <c r="AA18" i="1" s="1"/>
  <c r="Z15" i="1"/>
  <c r="AA15" i="1" s="1"/>
  <c r="Z14" i="1"/>
  <c r="AA14" i="1" s="1"/>
  <c r="Z24" i="1"/>
  <c r="AA24" i="1" s="1"/>
  <c r="AC36" i="1"/>
  <c r="AD36" i="1" s="1"/>
  <c r="K35" i="1"/>
  <c r="L35" i="1" s="1"/>
  <c r="K34" i="1"/>
  <c r="L34" i="1" s="1"/>
  <c r="E33" i="1"/>
  <c r="F33" i="1" s="1"/>
  <c r="AC14" i="1" l="1"/>
  <c r="AD14" i="1" s="1"/>
  <c r="AC23" i="1"/>
  <c r="AD23" i="1" s="1"/>
  <c r="AC26" i="1"/>
  <c r="AD26" i="1" s="1"/>
  <c r="AC16" i="1"/>
  <c r="AD16" i="1" s="1"/>
  <c r="AC15" i="1"/>
  <c r="AD15" i="1" s="1"/>
  <c r="AC17" i="1"/>
  <c r="AD17" i="1" s="1"/>
  <c r="AC19" i="1"/>
  <c r="AD19" i="1" s="1"/>
  <c r="AC18" i="1"/>
  <c r="AD18" i="1" s="1"/>
  <c r="AC25" i="1"/>
  <c r="AD25" i="1" s="1"/>
  <c r="AC13" i="1"/>
  <c r="AD13" i="1" s="1"/>
  <c r="AC24" i="1"/>
  <c r="AD24" i="1" s="1"/>
  <c r="AC21" i="1"/>
  <c r="AD21" i="1" s="1"/>
  <c r="AC20" i="1"/>
  <c r="AD20" i="1" s="1"/>
  <c r="AC22" i="1"/>
  <c r="AD22" i="1" s="1"/>
  <c r="AF36" i="1"/>
  <c r="AG36" i="1" s="1"/>
  <c r="N34" i="1"/>
  <c r="O34" i="1" s="1"/>
  <c r="N35" i="1"/>
  <c r="O35" i="1" s="1"/>
  <c r="K37" i="7"/>
  <c r="H33" i="1"/>
  <c r="I33" i="1" s="1"/>
  <c r="AF24" i="1" l="1"/>
  <c r="AF19" i="1"/>
  <c r="AF26" i="1"/>
  <c r="AF22" i="1"/>
  <c r="AF13" i="1"/>
  <c r="AF17" i="1"/>
  <c r="AF23" i="1"/>
  <c r="AF20" i="1"/>
  <c r="AF25" i="1"/>
  <c r="AF15" i="1"/>
  <c r="AF14" i="1"/>
  <c r="AF21" i="1"/>
  <c r="AF18" i="1"/>
  <c r="AF16" i="1"/>
  <c r="Q34" i="1"/>
  <c r="R34" i="1" s="1"/>
  <c r="Q35" i="1"/>
  <c r="R35" i="1" s="1"/>
  <c r="K33" i="1"/>
  <c r="L33" i="1" s="1"/>
  <c r="N3" i="5"/>
  <c r="N4" i="5"/>
  <c r="N5" i="5"/>
  <c r="N23" i="5"/>
  <c r="N24" i="5"/>
  <c r="N25" i="5"/>
  <c r="N26" i="5"/>
  <c r="N27" i="5"/>
  <c r="N28" i="5"/>
  <c r="N29" i="5"/>
  <c r="N30" i="5"/>
  <c r="N31" i="5"/>
  <c r="N32" i="5"/>
  <c r="N33" i="5"/>
  <c r="AG20" i="1" l="1"/>
  <c r="AI20" i="1" s="1"/>
  <c r="AG26" i="1"/>
  <c r="AI26" i="1" s="1"/>
  <c r="AG23" i="1"/>
  <c r="AI23" i="1" s="1"/>
  <c r="AG16" i="1"/>
  <c r="AI16" i="1" s="1"/>
  <c r="AG15" i="1"/>
  <c r="AI15" i="1" s="1"/>
  <c r="AG17" i="1"/>
  <c r="AI17" i="1" s="1"/>
  <c r="AG19" i="1"/>
  <c r="AI19" i="1" s="1"/>
  <c r="AG21" i="1"/>
  <c r="AI21" i="1" s="1"/>
  <c r="AG22" i="1"/>
  <c r="AI22" i="1" s="1"/>
  <c r="AG14" i="1"/>
  <c r="AI14" i="1" s="1"/>
  <c r="AG18" i="1"/>
  <c r="AI18" i="1" s="1"/>
  <c r="AG25" i="1"/>
  <c r="AI25" i="1" s="1"/>
  <c r="AG13" i="1"/>
  <c r="AI13" i="1" s="1"/>
  <c r="AG24" i="1"/>
  <c r="AI24" i="1" s="1"/>
  <c r="N34" i="5"/>
  <c r="T34" i="1"/>
  <c r="U34" i="1" s="1"/>
  <c r="T35" i="1"/>
  <c r="U35" i="1" s="1"/>
  <c r="N33" i="1"/>
  <c r="O33" i="1" s="1"/>
  <c r="AI36" i="1"/>
  <c r="AJ24" i="1" l="1"/>
  <c r="AL24" i="1" s="1"/>
  <c r="AM24" i="1" s="1"/>
  <c r="AJ14" i="1"/>
  <c r="AL14" i="1" s="1"/>
  <c r="AM14" i="1" s="1"/>
  <c r="AJ17" i="1"/>
  <c r="AL17" i="1" s="1"/>
  <c r="AM17" i="1" s="1"/>
  <c r="AJ26" i="1"/>
  <c r="AL26" i="1" s="1"/>
  <c r="AM26" i="1" s="1"/>
  <c r="AJ13" i="1"/>
  <c r="AL13" i="1" s="1"/>
  <c r="AM13" i="1" s="1"/>
  <c r="AJ22" i="1"/>
  <c r="AL22" i="1" s="1"/>
  <c r="AM22" i="1" s="1"/>
  <c r="AJ15" i="1"/>
  <c r="AL15" i="1" s="1"/>
  <c r="AM15" i="1" s="1"/>
  <c r="AJ20" i="1"/>
  <c r="AL20" i="1" s="1"/>
  <c r="AM20" i="1" s="1"/>
  <c r="AJ25" i="1"/>
  <c r="AL25" i="1" s="1"/>
  <c r="AM25" i="1" s="1"/>
  <c r="AJ21" i="1"/>
  <c r="AL21" i="1" s="1"/>
  <c r="AM21" i="1" s="1"/>
  <c r="AJ16" i="1"/>
  <c r="AL16" i="1" s="1"/>
  <c r="AM16" i="1" s="1"/>
  <c r="AJ18" i="1"/>
  <c r="AL18" i="1" s="1"/>
  <c r="AM18" i="1" s="1"/>
  <c r="AJ19" i="1"/>
  <c r="AL19" i="1" s="1"/>
  <c r="AM19" i="1" s="1"/>
  <c r="AJ23" i="1"/>
  <c r="AL23" i="1" s="1"/>
  <c r="AM23" i="1" s="1"/>
  <c r="AJ36" i="1"/>
  <c r="AL36" i="1" s="1"/>
  <c r="AM36" i="1" s="1"/>
  <c r="Q33" i="1"/>
  <c r="R33" i="1" s="1"/>
  <c r="W35" i="1"/>
  <c r="X35" i="1" s="1"/>
  <c r="W34" i="1"/>
  <c r="X34" i="1" s="1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" i="3"/>
  <c r="N34" i="2"/>
  <c r="M34" i="2"/>
  <c r="L34" i="2"/>
  <c r="K34" i="2"/>
  <c r="J34" i="2"/>
  <c r="I34" i="2"/>
  <c r="H34" i="2"/>
  <c r="G34" i="2"/>
  <c r="O3" i="2"/>
  <c r="O4" i="2"/>
  <c r="O5" i="2"/>
  <c r="O6" i="2"/>
  <c r="O7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F34" i="2"/>
  <c r="C34" i="2"/>
  <c r="E32" i="1"/>
  <c r="F32" i="1" s="1"/>
  <c r="E2" i="1"/>
  <c r="F2" i="1" s="1"/>
  <c r="E3" i="1"/>
  <c r="F3" i="1" s="1"/>
  <c r="E4" i="1"/>
  <c r="F4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27" i="1"/>
  <c r="F27" i="1" s="1"/>
  <c r="E28" i="1"/>
  <c r="F28" i="1" s="1"/>
  <c r="E29" i="1"/>
  <c r="F29" i="1" s="1"/>
  <c r="E30" i="1"/>
  <c r="F30" i="1" s="1"/>
  <c r="E31" i="1"/>
  <c r="F31" i="1" s="1"/>
  <c r="Z34" i="1" l="1"/>
  <c r="AA34" i="1" s="1"/>
  <c r="T33" i="1"/>
  <c r="U33" i="1" s="1"/>
  <c r="Z35" i="1"/>
  <c r="AA35" i="1" s="1"/>
  <c r="H31" i="1"/>
  <c r="I31" i="1" s="1"/>
  <c r="H29" i="1"/>
  <c r="I29" i="1" s="1"/>
  <c r="H27" i="1"/>
  <c r="I27" i="1" s="1"/>
  <c r="H11" i="1"/>
  <c r="I11" i="1" s="1"/>
  <c r="H10" i="1"/>
  <c r="I10" i="1" s="1"/>
  <c r="H8" i="1"/>
  <c r="I8" i="1" s="1"/>
  <c r="H6" i="1"/>
  <c r="I6" i="1" s="1"/>
  <c r="H4" i="1"/>
  <c r="I4" i="1" s="1"/>
  <c r="H2" i="1"/>
  <c r="I2" i="1" s="1"/>
  <c r="O34" i="2"/>
  <c r="H30" i="1"/>
  <c r="I30" i="1" s="1"/>
  <c r="H28" i="1"/>
  <c r="I28" i="1" s="1"/>
  <c r="H12" i="1"/>
  <c r="I12" i="1" s="1"/>
  <c r="H7" i="1"/>
  <c r="I7" i="1" s="1"/>
  <c r="H5" i="1"/>
  <c r="I5" i="1" s="1"/>
  <c r="H3" i="1"/>
  <c r="I3" i="1" s="1"/>
  <c r="H32" i="1"/>
  <c r="I32" i="1" s="1"/>
  <c r="H9" i="1"/>
  <c r="I9" i="1" s="1"/>
  <c r="N34" i="3"/>
  <c r="E37" i="1"/>
  <c r="F37" i="1" s="1"/>
  <c r="W33" i="1" l="1"/>
  <c r="X33" i="1" s="1"/>
  <c r="AC34" i="1"/>
  <c r="AD34" i="1" s="1"/>
  <c r="AC35" i="1"/>
  <c r="AD35" i="1" s="1"/>
  <c r="K27" i="1"/>
  <c r="L27" i="1" s="1"/>
  <c r="K4" i="1"/>
  <c r="L4" i="1" s="1"/>
  <c r="K8" i="1"/>
  <c r="L8" i="1" s="1"/>
  <c r="K10" i="1"/>
  <c r="L10" i="1" s="1"/>
  <c r="K31" i="1"/>
  <c r="L31" i="1" s="1"/>
  <c r="K2" i="1"/>
  <c r="L2" i="1" s="1"/>
  <c r="K6" i="1"/>
  <c r="L6" i="1" s="1"/>
  <c r="K11" i="1"/>
  <c r="L11" i="1" s="1"/>
  <c r="K29" i="1"/>
  <c r="L29" i="1" s="1"/>
  <c r="K32" i="1"/>
  <c r="L32" i="1" s="1"/>
  <c r="K3" i="1"/>
  <c r="L3" i="1" s="1"/>
  <c r="K5" i="1"/>
  <c r="L5" i="1" s="1"/>
  <c r="K7" i="1"/>
  <c r="L7" i="1" s="1"/>
  <c r="K12" i="1"/>
  <c r="L12" i="1" s="1"/>
  <c r="K28" i="1"/>
  <c r="L28" i="1" s="1"/>
  <c r="K30" i="1"/>
  <c r="L30" i="1" s="1"/>
  <c r="H37" i="1"/>
  <c r="I37" i="1" s="1"/>
  <c r="K9" i="1"/>
  <c r="L9" i="1" s="1"/>
  <c r="AF34" i="1" l="1"/>
  <c r="AG34" i="1" s="1"/>
  <c r="AF35" i="1"/>
  <c r="AG35" i="1" s="1"/>
  <c r="Z33" i="1"/>
  <c r="AA33" i="1" s="1"/>
  <c r="N32" i="1"/>
  <c r="O32" i="1" s="1"/>
  <c r="N2" i="1"/>
  <c r="O2" i="1" s="1"/>
  <c r="N27" i="1"/>
  <c r="O27" i="1" s="1"/>
  <c r="N28" i="1"/>
  <c r="O28" i="1" s="1"/>
  <c r="N7" i="1"/>
  <c r="O7" i="1" s="1"/>
  <c r="N3" i="1"/>
  <c r="O3" i="1" s="1"/>
  <c r="N11" i="1"/>
  <c r="O11" i="1" s="1"/>
  <c r="N6" i="1"/>
  <c r="O6" i="1" s="1"/>
  <c r="N31" i="1"/>
  <c r="O31" i="1" s="1"/>
  <c r="N8" i="1"/>
  <c r="O8" i="1" s="1"/>
  <c r="N30" i="1"/>
  <c r="O30" i="1" s="1"/>
  <c r="N12" i="1"/>
  <c r="O12" i="1" s="1"/>
  <c r="N5" i="1"/>
  <c r="O5" i="1" s="1"/>
  <c r="N29" i="1"/>
  <c r="O29" i="1" s="1"/>
  <c r="N10" i="1"/>
  <c r="O10" i="1" s="1"/>
  <c r="N4" i="1"/>
  <c r="O4" i="1" s="1"/>
  <c r="N9" i="1"/>
  <c r="O9" i="1" s="1"/>
  <c r="K37" i="1"/>
  <c r="L37" i="1" s="1"/>
  <c r="Q27" i="1" l="1"/>
  <c r="Q32" i="1"/>
  <c r="R32" i="1" s="1"/>
  <c r="AI34" i="1"/>
  <c r="Q2" i="1"/>
  <c r="R2" i="1" s="1"/>
  <c r="AC33" i="1"/>
  <c r="AD33" i="1" s="1"/>
  <c r="AI35" i="1"/>
  <c r="AJ35" i="1" s="1"/>
  <c r="N37" i="1"/>
  <c r="O37" i="1" s="1"/>
  <c r="AJ25" i="8"/>
  <c r="Q10" i="1"/>
  <c r="R10" i="1" s="1"/>
  <c r="Q29" i="1"/>
  <c r="R29" i="1" s="1"/>
  <c r="Q30" i="1"/>
  <c r="R30" i="1" s="1"/>
  <c r="Q31" i="1"/>
  <c r="R31" i="1" s="1"/>
  <c r="Q11" i="1"/>
  <c r="R11" i="1" s="1"/>
  <c r="Q3" i="1"/>
  <c r="R3" i="1" s="1"/>
  <c r="Q4" i="1"/>
  <c r="R4" i="1" s="1"/>
  <c r="Q5" i="1"/>
  <c r="R5" i="1" s="1"/>
  <c r="Q12" i="1"/>
  <c r="R12" i="1" s="1"/>
  <c r="Q8" i="1"/>
  <c r="R8" i="1" s="1"/>
  <c r="Q6" i="1"/>
  <c r="R6" i="1" s="1"/>
  <c r="Q7" i="1"/>
  <c r="R7" i="1" s="1"/>
  <c r="Q28" i="1"/>
  <c r="R28" i="1" s="1"/>
  <c r="Q9" i="1"/>
  <c r="R9" i="1" s="1"/>
  <c r="R27" i="1" l="1"/>
  <c r="T27" i="1" s="1"/>
  <c r="U27" i="1" s="1"/>
  <c r="W27" i="1" s="1"/>
  <c r="X27" i="1" s="1"/>
  <c r="AJ34" i="1"/>
  <c r="AL34" i="1" s="1"/>
  <c r="AM34" i="1" s="1"/>
  <c r="AL35" i="1"/>
  <c r="AJ38" i="1"/>
  <c r="T2" i="1"/>
  <c r="U2" i="1" s="1"/>
  <c r="T32" i="1"/>
  <c r="U32" i="1" s="1"/>
  <c r="Q37" i="1"/>
  <c r="R37" i="1" s="1"/>
  <c r="AF33" i="1"/>
  <c r="AG33" i="1" s="1"/>
  <c r="T9" i="1"/>
  <c r="U9" i="1" s="1"/>
  <c r="T8" i="1"/>
  <c r="U8" i="1" s="1"/>
  <c r="AM35" i="1"/>
  <c r="T7" i="1"/>
  <c r="U7" i="1" s="1"/>
  <c r="T6" i="1"/>
  <c r="U6" i="1" s="1"/>
  <c r="T12" i="1"/>
  <c r="U12" i="1" s="1"/>
  <c r="T11" i="1"/>
  <c r="U11" i="1" s="1"/>
  <c r="T30" i="1"/>
  <c r="U30" i="1" s="1"/>
  <c r="T29" i="1"/>
  <c r="U29" i="1" s="1"/>
  <c r="T28" i="1"/>
  <c r="U28" i="1" s="1"/>
  <c r="T5" i="1"/>
  <c r="U5" i="1" s="1"/>
  <c r="T4" i="1"/>
  <c r="U4" i="1" s="1"/>
  <c r="T3" i="1"/>
  <c r="U3" i="1" s="1"/>
  <c r="T31" i="1"/>
  <c r="U31" i="1" s="1"/>
  <c r="T10" i="1"/>
  <c r="U10" i="1" s="1"/>
  <c r="W32" i="1" l="1"/>
  <c r="W2" i="1"/>
  <c r="W9" i="1"/>
  <c r="X9" i="1" s="1"/>
  <c r="AI33" i="1"/>
  <c r="W8" i="1"/>
  <c r="X8" i="1" s="1"/>
  <c r="T37" i="1"/>
  <c r="U37" i="1" s="1"/>
  <c r="W3" i="1"/>
  <c r="X3" i="1" s="1"/>
  <c r="W5" i="1"/>
  <c r="X5" i="1" s="1"/>
  <c r="W29" i="1"/>
  <c r="X29" i="1" s="1"/>
  <c r="W11" i="1"/>
  <c r="X11" i="1" s="1"/>
  <c r="W6" i="1"/>
  <c r="X6" i="1" s="1"/>
  <c r="W10" i="1"/>
  <c r="X10" i="1" s="1"/>
  <c r="W31" i="1"/>
  <c r="X31" i="1" s="1"/>
  <c r="W4" i="1"/>
  <c r="X4" i="1" s="1"/>
  <c r="W28" i="1"/>
  <c r="X28" i="1" s="1"/>
  <c r="W30" i="1"/>
  <c r="X30" i="1" s="1"/>
  <c r="W12" i="1"/>
  <c r="X12" i="1" s="1"/>
  <c r="W7" i="1"/>
  <c r="X7" i="1" s="1"/>
  <c r="Z27" i="1"/>
  <c r="AA27" i="1" s="1"/>
  <c r="X2" i="1" l="1"/>
  <c r="Z2" i="1" s="1"/>
  <c r="AJ33" i="1"/>
  <c r="AL33" i="1" s="1"/>
  <c r="AM33" i="1" s="1"/>
  <c r="X32" i="1"/>
  <c r="Z32" i="1" s="1"/>
  <c r="Z9" i="1"/>
  <c r="AA9" i="1" s="1"/>
  <c r="Z8" i="1"/>
  <c r="AA8" i="1" s="1"/>
  <c r="W37" i="1"/>
  <c r="X37" i="1" s="1"/>
  <c r="Z31" i="1"/>
  <c r="AA31" i="1" s="1"/>
  <c r="Z12" i="1"/>
  <c r="AA12" i="1" s="1"/>
  <c r="Z30" i="1"/>
  <c r="AA30" i="1" s="1"/>
  <c r="Z6" i="1"/>
  <c r="AA6" i="1" s="1"/>
  <c r="Z11" i="1"/>
  <c r="AA11" i="1" s="1"/>
  <c r="Z3" i="1"/>
  <c r="AA3" i="1" s="1"/>
  <c r="Z7" i="1"/>
  <c r="AA7" i="1" s="1"/>
  <c r="Z28" i="1"/>
  <c r="AA28" i="1" s="1"/>
  <c r="Z4" i="1"/>
  <c r="AA4" i="1" s="1"/>
  <c r="Z10" i="1"/>
  <c r="AA10" i="1" s="1"/>
  <c r="Z29" i="1"/>
  <c r="AA29" i="1" s="1"/>
  <c r="Z5" i="1"/>
  <c r="AA5" i="1" s="1"/>
  <c r="AC27" i="1"/>
  <c r="AD27" i="1" s="1"/>
  <c r="AA32" i="1" l="1"/>
  <c r="AC32" i="1" s="1"/>
  <c r="AD32" i="1" s="1"/>
  <c r="AF32" i="1" s="1"/>
  <c r="AG32" i="1" s="1"/>
  <c r="AI32" i="1" s="1"/>
  <c r="AA2" i="1"/>
  <c r="AC2" i="1" s="1"/>
  <c r="AD2" i="1" s="1"/>
  <c r="AF2" i="1" s="1"/>
  <c r="AG2" i="1" s="1"/>
  <c r="Z37" i="1"/>
  <c r="AA37" i="1" s="1"/>
  <c r="AC31" i="1"/>
  <c r="AD31" i="1" s="1"/>
  <c r="AC8" i="1"/>
  <c r="AD8" i="1" s="1"/>
  <c r="AC9" i="1"/>
  <c r="AD9" i="1" s="1"/>
  <c r="AC29" i="1"/>
  <c r="AD29" i="1" s="1"/>
  <c r="AC4" i="1"/>
  <c r="AD4" i="1" s="1"/>
  <c r="AC3" i="1"/>
  <c r="AD3" i="1" s="1"/>
  <c r="AC11" i="1"/>
  <c r="AD11" i="1" s="1"/>
  <c r="AC30" i="1"/>
  <c r="AD30" i="1" s="1"/>
  <c r="AC5" i="1"/>
  <c r="AD5" i="1" s="1"/>
  <c r="AC10" i="1"/>
  <c r="AD10" i="1" s="1"/>
  <c r="AC28" i="1"/>
  <c r="AD28" i="1" s="1"/>
  <c r="AC7" i="1"/>
  <c r="AD7" i="1" s="1"/>
  <c r="AC6" i="1"/>
  <c r="AD6" i="1" s="1"/>
  <c r="AC12" i="1"/>
  <c r="AD12" i="1" s="1"/>
  <c r="AF27" i="1"/>
  <c r="AG27" i="1" s="1"/>
  <c r="AJ32" i="1" l="1"/>
  <c r="AL32" i="1" s="1"/>
  <c r="AM32" i="1" s="1"/>
  <c r="AC37" i="1"/>
  <c r="AD37" i="1" s="1"/>
  <c r="AF9" i="1"/>
  <c r="AF8" i="1"/>
  <c r="AF31" i="1"/>
  <c r="AG31" i="1" s="1"/>
  <c r="AI2" i="1"/>
  <c r="AJ2" i="1" s="1"/>
  <c r="AF6" i="1"/>
  <c r="AG6" i="1" s="1"/>
  <c r="AF7" i="1"/>
  <c r="AG7" i="1" s="1"/>
  <c r="AF10" i="1"/>
  <c r="AG10" i="1" s="1"/>
  <c r="AF30" i="1"/>
  <c r="AG30" i="1" s="1"/>
  <c r="AF3" i="1"/>
  <c r="AG3" i="1" s="1"/>
  <c r="AF4" i="1"/>
  <c r="AG4" i="1" s="1"/>
  <c r="AF12" i="1"/>
  <c r="AG12" i="1" s="1"/>
  <c r="AF28" i="1"/>
  <c r="AG28" i="1" s="1"/>
  <c r="AF5" i="1"/>
  <c r="AG5" i="1" s="1"/>
  <c r="AF11" i="1"/>
  <c r="AG11" i="1" s="1"/>
  <c r="AF29" i="1"/>
  <c r="AG29" i="1" s="1"/>
  <c r="AI27" i="1"/>
  <c r="AG8" i="1" l="1"/>
  <c r="AI8" i="1" s="1"/>
  <c r="AJ27" i="1"/>
  <c r="AL27" i="1" s="1"/>
  <c r="AM27" i="1" s="1"/>
  <c r="AG9" i="1"/>
  <c r="AI9" i="1" s="1"/>
  <c r="AL2" i="1"/>
  <c r="AM2" i="1" s="1"/>
  <c r="AF37" i="1"/>
  <c r="AG37" i="1" s="1"/>
  <c r="AI5" i="1"/>
  <c r="AI4" i="1"/>
  <c r="AI30" i="1"/>
  <c r="AI7" i="1"/>
  <c r="AI29" i="1"/>
  <c r="AI11" i="1"/>
  <c r="AI28" i="1"/>
  <c r="AI12" i="1"/>
  <c r="AI3" i="1"/>
  <c r="AI10" i="1"/>
  <c r="AI6" i="1"/>
  <c r="AJ9" i="1" l="1"/>
  <c r="AL9" i="1" s="1"/>
  <c r="AM9" i="1" s="1"/>
  <c r="AJ8" i="1"/>
  <c r="AL8" i="1" s="1"/>
  <c r="AM8" i="1" s="1"/>
  <c r="AJ28" i="1"/>
  <c r="AL28" i="1" s="1"/>
  <c r="AM28" i="1" s="1"/>
  <c r="AJ6" i="1"/>
  <c r="AL6" i="1" s="1"/>
  <c r="AM6" i="1" s="1"/>
  <c r="AJ10" i="1"/>
  <c r="AL10" i="1" s="1"/>
  <c r="AM10" i="1" s="1"/>
  <c r="AJ4" i="1"/>
  <c r="AL4" i="1" s="1"/>
  <c r="AM4" i="1" s="1"/>
  <c r="AJ3" i="1"/>
  <c r="AL3" i="1" s="1"/>
  <c r="AM3" i="1" s="1"/>
  <c r="AJ29" i="1"/>
  <c r="AL29" i="1" s="1"/>
  <c r="AM29" i="1" s="1"/>
  <c r="AJ5" i="1"/>
  <c r="AL5" i="1" s="1"/>
  <c r="AM5" i="1" s="1"/>
  <c r="AJ30" i="1"/>
  <c r="AL30" i="1" s="1"/>
  <c r="AM30" i="1" s="1"/>
  <c r="AJ11" i="1"/>
  <c r="AL11" i="1" s="1"/>
  <c r="AM11" i="1" s="1"/>
  <c r="AJ12" i="1"/>
  <c r="AL12" i="1" s="1"/>
  <c r="AM12" i="1" s="1"/>
  <c r="AJ7" i="1"/>
  <c r="AL7" i="1" s="1"/>
  <c r="AM7" i="1" s="1"/>
  <c r="AI37" i="1"/>
  <c r="AI31" i="1"/>
  <c r="AJ31" i="1" l="1"/>
  <c r="AL31" i="1" s="1"/>
  <c r="AM31" i="1" s="1"/>
  <c r="AJ37" i="1"/>
  <c r="AL37" i="1" s="1"/>
  <c r="AM37" i="1" s="1"/>
  <c r="F4" i="8"/>
  <c r="J4" i="8" l="1"/>
  <c r="M4" i="8" s="1"/>
  <c r="P4" i="8" s="1"/>
  <c r="S4" i="8" s="1"/>
  <c r="V4" i="8" s="1"/>
  <c r="Y4" i="8" s="1"/>
  <c r="AB4" i="8" s="1"/>
  <c r="F25" i="8"/>
  <c r="J25" i="8" s="1"/>
  <c r="M25" i="8" s="1"/>
  <c r="L36" i="7" s="1"/>
  <c r="U25" i="8"/>
  <c r="AE4" i="8" l="1"/>
  <c r="AD4" i="8" s="1"/>
  <c r="AH4" i="8" s="1"/>
  <c r="AM4" i="8" s="1"/>
  <c r="AN4" i="8" s="1"/>
  <c r="X25" i="8"/>
  <c r="AA25" i="8" l="1"/>
  <c r="AD25" i="8" l="1"/>
  <c r="AG25" i="8" l="1"/>
  <c r="N37" i="7"/>
  <c r="Q37" i="7"/>
  <c r="T37" i="7"/>
  <c r="P25" i="8"/>
  <c r="S25" i="8" s="1"/>
  <c r="V25" i="8" s="1"/>
  <c r="Y25" i="8" s="1"/>
  <c r="AB25" i="8" s="1"/>
  <c r="AE25" i="8" l="1"/>
  <c r="AH25" i="8" s="1"/>
  <c r="AA36" i="7"/>
  <c r="AB36" i="7" s="1"/>
  <c r="C10" i="7"/>
  <c r="D10" i="7" s="1"/>
  <c r="C4" i="7"/>
  <c r="D4" i="7" s="1"/>
  <c r="C8" i="7"/>
  <c r="D8" i="7" s="1"/>
  <c r="C5" i="7"/>
  <c r="D5" i="7" s="1"/>
  <c r="C7" i="7"/>
  <c r="D7" i="7" s="1"/>
  <c r="C6" i="7"/>
  <c r="D6" i="7" s="1"/>
  <c r="F4" i="7"/>
  <c r="G4" i="7" s="1"/>
  <c r="F10" i="7"/>
  <c r="G10" i="7" s="1"/>
  <c r="I10" i="7"/>
  <c r="J10" i="7" s="1"/>
  <c r="F5" i="7"/>
  <c r="G5" i="7" s="1"/>
  <c r="C3" i="7"/>
  <c r="F3" i="7" l="1"/>
  <c r="F6" i="7"/>
  <c r="G6" i="7" s="1"/>
  <c r="I4" i="7"/>
  <c r="J4" i="7" s="1"/>
  <c r="D3" i="7"/>
  <c r="F8" i="7"/>
  <c r="G8" i="7" s="1"/>
  <c r="F7" i="7"/>
  <c r="G7" i="7" s="1"/>
  <c r="I7" i="7" l="1"/>
  <c r="J7" i="7" s="1"/>
  <c r="I5" i="7"/>
  <c r="J5" i="7" s="1"/>
  <c r="L4" i="7"/>
  <c r="M4" i="7" s="1"/>
  <c r="I3" i="7"/>
  <c r="I8" i="7"/>
  <c r="J8" i="7" s="1"/>
  <c r="L10" i="7"/>
  <c r="M10" i="7" s="1"/>
  <c r="I6" i="7"/>
  <c r="J6" i="7" s="1"/>
  <c r="G3" i="7"/>
  <c r="O10" i="7" l="1"/>
  <c r="J3" i="7"/>
  <c r="O4" i="7"/>
  <c r="L5" i="7"/>
  <c r="M5" i="7" s="1"/>
  <c r="L7" i="7"/>
  <c r="M7" i="7" s="1"/>
  <c r="L6" i="7"/>
  <c r="M6" i="7" s="1"/>
  <c r="L8" i="7"/>
  <c r="M8" i="7" s="1"/>
  <c r="L3" i="7"/>
  <c r="M3" i="7" s="1"/>
  <c r="O6" i="7" l="1"/>
  <c r="O5" i="7"/>
  <c r="R4" i="7"/>
  <c r="S4" i="7" s="1"/>
  <c r="R10" i="7"/>
  <c r="S10" i="7" s="1"/>
  <c r="O3" i="7"/>
  <c r="O8" i="7"/>
  <c r="O7" i="7"/>
  <c r="P4" i="7"/>
  <c r="P10" i="7"/>
  <c r="P7" i="7" l="1"/>
  <c r="P8" i="7"/>
  <c r="U10" i="7"/>
  <c r="U4" i="7"/>
  <c r="R5" i="7"/>
  <c r="S5" i="7" s="1"/>
  <c r="R6" i="7"/>
  <c r="S6" i="7" s="1"/>
  <c r="R7" i="7"/>
  <c r="S7" i="7" s="1"/>
  <c r="R8" i="7"/>
  <c r="S8" i="7" s="1"/>
  <c r="R3" i="7"/>
  <c r="P3" i="7"/>
  <c r="P5" i="7"/>
  <c r="P6" i="7"/>
  <c r="U3" i="7" l="1"/>
  <c r="U8" i="7"/>
  <c r="V8" i="7" s="1"/>
  <c r="U7" i="7"/>
  <c r="V7" i="7" s="1"/>
  <c r="U5" i="7"/>
  <c r="X4" i="7"/>
  <c r="Y4" i="7" s="1"/>
  <c r="X10" i="7"/>
  <c r="Y10" i="7" s="1"/>
  <c r="S3" i="7"/>
  <c r="U6" i="7"/>
  <c r="V6" i="7" s="1"/>
  <c r="V4" i="7"/>
  <c r="V10" i="7"/>
  <c r="AL10" i="7" l="1"/>
  <c r="AL4" i="7"/>
  <c r="X6" i="7"/>
  <c r="Y6" i="7" s="1"/>
  <c r="X5" i="7"/>
  <c r="Y5" i="7" s="1"/>
  <c r="X7" i="7"/>
  <c r="X8" i="7"/>
  <c r="V3" i="7"/>
  <c r="AA10" i="7"/>
  <c r="AB10" i="7" s="1"/>
  <c r="AA4" i="7"/>
  <c r="AB4" i="7" s="1"/>
  <c r="V5" i="7"/>
  <c r="X3" i="7"/>
  <c r="AL5" i="7" l="1"/>
  <c r="AL6" i="7"/>
  <c r="AD4" i="7"/>
  <c r="AE4" i="7" s="1"/>
  <c r="AD10" i="7"/>
  <c r="AE10" i="7" s="1"/>
  <c r="AA8" i="7"/>
  <c r="AB8" i="7" s="1"/>
  <c r="AA7" i="7"/>
  <c r="AB7" i="7" s="1"/>
  <c r="AA5" i="7"/>
  <c r="AB5" i="7" s="1"/>
  <c r="AA3" i="7"/>
  <c r="Y3" i="7"/>
  <c r="AL3" i="7"/>
  <c r="Y8" i="7"/>
  <c r="AL8" i="7"/>
  <c r="Y7" i="7"/>
  <c r="AL7" i="7"/>
  <c r="AA6" i="7"/>
  <c r="AB6" i="7" s="1"/>
  <c r="AB3" i="7" l="1"/>
  <c r="AD5" i="7"/>
  <c r="AE5" i="7" s="1"/>
  <c r="AD8" i="7"/>
  <c r="AE8" i="7" s="1"/>
  <c r="AD6" i="7"/>
  <c r="AE6" i="7" s="1"/>
  <c r="AD3" i="7"/>
  <c r="AD7" i="7"/>
  <c r="AE7" i="7" s="1"/>
  <c r="AM7" i="8"/>
  <c r="AN7" i="8" s="1"/>
  <c r="AG10" i="7"/>
  <c r="AH10" i="7" s="1"/>
  <c r="AM10" i="7" s="1"/>
  <c r="AN10" i="7" s="1"/>
  <c r="AK7" i="8"/>
  <c r="AJ10" i="7" s="1"/>
  <c r="AK10" i="7" s="1"/>
  <c r="AG4" i="7"/>
  <c r="AH4" i="7" s="1"/>
  <c r="AM4" i="7" s="1"/>
  <c r="AN4" i="7" s="1"/>
  <c r="AM2" i="8"/>
  <c r="AN2" i="8" s="1"/>
  <c r="AK2" i="8"/>
  <c r="AJ4" i="7" s="1"/>
  <c r="AK4" i="7" s="1"/>
  <c r="AG7" i="7" l="1"/>
  <c r="AH7" i="7" s="1"/>
  <c r="AM7" i="7" s="1"/>
  <c r="AN7" i="7" s="1"/>
  <c r="AM21" i="8"/>
  <c r="AN21" i="8" s="1"/>
  <c r="AK21" i="8"/>
  <c r="AJ7" i="7" s="1"/>
  <c r="AK7" i="7" s="1"/>
  <c r="AE3" i="7"/>
  <c r="AM14" i="8"/>
  <c r="AN14" i="8" s="1"/>
  <c r="AG6" i="7"/>
  <c r="AH6" i="7" s="1"/>
  <c r="AM6" i="7" s="1"/>
  <c r="AN6" i="7" s="1"/>
  <c r="AK14" i="8"/>
  <c r="AM23" i="8"/>
  <c r="AN23" i="8" s="1"/>
  <c r="AG5" i="7"/>
  <c r="AH5" i="7" s="1"/>
  <c r="AM5" i="7" s="1"/>
  <c r="AN5" i="7" s="1"/>
  <c r="AK23" i="8"/>
  <c r="AM13" i="8"/>
  <c r="AN13" i="8" s="1"/>
  <c r="AK13" i="8"/>
  <c r="AK12" i="8"/>
  <c r="AJ12" i="7" s="1"/>
  <c r="AK12" i="7" s="1"/>
  <c r="AM12" i="8"/>
  <c r="AN12" i="8" s="1"/>
  <c r="AG3" i="7"/>
  <c r="AG8" i="7"/>
  <c r="AH8" i="7" s="1"/>
  <c r="AM8" i="7" s="1"/>
  <c r="AN8" i="7" s="1"/>
  <c r="AK5" i="8"/>
  <c r="AJ8" i="7" s="1"/>
  <c r="AK8" i="7" s="1"/>
  <c r="AM5" i="8"/>
  <c r="AN5" i="8" s="1"/>
  <c r="AJ9" i="7" l="1"/>
  <c r="AK9" i="7" s="1"/>
  <c r="AJ13" i="7"/>
  <c r="AK13" i="7" s="1"/>
  <c r="AJ6" i="7"/>
  <c r="AK6" i="7" s="1"/>
  <c r="AJ14" i="7"/>
  <c r="AK14" i="7" s="1"/>
  <c r="AJ5" i="7"/>
  <c r="AK5" i="7" s="1"/>
  <c r="AH3" i="7"/>
  <c r="AJ3" i="7"/>
  <c r="AK3" i="7" l="1"/>
  <c r="AM3" i="7"/>
  <c r="AN3" i="7" s="1"/>
  <c r="L37" i="7" l="1"/>
  <c r="AM25" i="8" l="1"/>
  <c r="AN25" i="8" s="1"/>
  <c r="AK25" i="8"/>
  <c r="AJ2" i="7"/>
  <c r="AJ37" i="7" s="1"/>
  <c r="D9" i="8"/>
  <c r="F2" i="7" l="1"/>
  <c r="G2" i="7" s="1"/>
  <c r="C9" i="7"/>
  <c r="D9" i="7" s="1"/>
  <c r="G9" i="8"/>
  <c r="AK2" i="7"/>
  <c r="AK37" i="7" s="1"/>
  <c r="C2" i="7"/>
  <c r="J9" i="8" l="1"/>
  <c r="F9" i="7"/>
  <c r="I2" i="7"/>
  <c r="J2" i="7" s="1"/>
  <c r="L2" i="7"/>
  <c r="M2" i="7" s="1"/>
  <c r="C37" i="7"/>
  <c r="D2" i="7"/>
  <c r="D37" i="7" s="1"/>
  <c r="G9" i="7" l="1"/>
  <c r="G37" i="7" s="1"/>
  <c r="F37" i="7"/>
  <c r="M9" i="8"/>
  <c r="I9" i="7"/>
  <c r="J9" i="7" s="1"/>
  <c r="J37" i="7" s="1"/>
  <c r="O2" i="7"/>
  <c r="I37" i="7" l="1"/>
  <c r="L9" i="7"/>
  <c r="M9" i="7" s="1"/>
  <c r="M37" i="7" s="1"/>
  <c r="P9" i="8"/>
  <c r="R2" i="7"/>
  <c r="P2" i="7"/>
  <c r="O9" i="7" l="1"/>
  <c r="S9" i="8"/>
  <c r="U2" i="7"/>
  <c r="S2" i="7"/>
  <c r="R9" i="7" l="1"/>
  <c r="V9" i="8"/>
  <c r="P9" i="7"/>
  <c r="P37" i="7" s="1"/>
  <c r="O37" i="7"/>
  <c r="X2" i="7"/>
  <c r="AL2" i="7" s="1"/>
  <c r="V2" i="7"/>
  <c r="U9" i="7" l="1"/>
  <c r="Y9" i="8"/>
  <c r="S9" i="7"/>
  <c r="S37" i="7" s="1"/>
  <c r="R37" i="7"/>
  <c r="AA2" i="7"/>
  <c r="AL37" i="7"/>
  <c r="Y2" i="7"/>
  <c r="X9" i="7" l="1"/>
  <c r="AB9" i="8"/>
  <c r="V9" i="7"/>
  <c r="V37" i="7" s="1"/>
  <c r="AL9" i="7"/>
  <c r="U37" i="7"/>
  <c r="AD2" i="7"/>
  <c r="AB2" i="7"/>
  <c r="AA9" i="7" l="1"/>
  <c r="AE9" i="8"/>
  <c r="Y9" i="7"/>
  <c r="Y37" i="7" s="1"/>
  <c r="X37" i="7"/>
  <c r="AG2" i="7"/>
  <c r="AE2" i="7"/>
  <c r="AD9" i="7" l="1"/>
  <c r="AH9" i="8"/>
  <c r="AB9" i="7"/>
  <c r="AB37" i="7" s="1"/>
  <c r="AA37" i="7"/>
  <c r="AH2" i="7"/>
  <c r="AG9" i="7" l="1"/>
  <c r="AM9" i="8"/>
  <c r="AN9" i="8" s="1"/>
  <c r="AE9" i="7"/>
  <c r="AE37" i="7" s="1"/>
  <c r="AD37" i="7"/>
  <c r="AM2" i="7"/>
  <c r="AN2" i="7" s="1"/>
  <c r="AH9" i="7" l="1"/>
  <c r="AG37" i="7"/>
  <c r="AM9" i="7" l="1"/>
  <c r="AN9" i="7" s="1"/>
  <c r="AH37" i="7"/>
  <c r="AM37" i="7" s="1"/>
  <c r="AN37" i="7" s="1"/>
</calcChain>
</file>

<file path=xl/sharedStrings.xml><?xml version="1.0" encoding="utf-8"?>
<sst xmlns="http://schemas.openxmlformats.org/spreadsheetml/2006/main" count="676" uniqueCount="216">
  <si>
    <t>NOMS ET PRENOMS</t>
  </si>
  <si>
    <t>EP NOV</t>
  </si>
  <si>
    <t>EP DEC</t>
  </si>
  <si>
    <t>CUMUL1</t>
  </si>
  <si>
    <t>EP JANV</t>
  </si>
  <si>
    <t>CUMUL2</t>
  </si>
  <si>
    <t>EP FEV</t>
  </si>
  <si>
    <t>CUMUL3</t>
  </si>
  <si>
    <t>EP MARS</t>
  </si>
  <si>
    <t>CUMUL4</t>
  </si>
  <si>
    <t>EP+INT</t>
  </si>
  <si>
    <t>CUMUL5</t>
  </si>
  <si>
    <t>EP MAI</t>
  </si>
  <si>
    <t>EP JUIN</t>
  </si>
  <si>
    <t>CUMUL6</t>
  </si>
  <si>
    <t>CUMUL7</t>
  </si>
  <si>
    <t>CUMUL8</t>
  </si>
  <si>
    <t>EP AOUT</t>
  </si>
  <si>
    <t>CUMUL9</t>
  </si>
  <si>
    <t>EP SEPT</t>
  </si>
  <si>
    <t>CUMUL10</t>
  </si>
  <si>
    <t>EP TOTALE</t>
  </si>
  <si>
    <t>INTERETS</t>
  </si>
  <si>
    <t>N A P</t>
  </si>
  <si>
    <t>MBA ENYOUGOU B D</t>
  </si>
  <si>
    <t>NONBO MARC</t>
  </si>
  <si>
    <t>ITOP SAMUEL</t>
  </si>
  <si>
    <t>MBAMBA NSOA J P</t>
  </si>
  <si>
    <t>ABENG ZE J C</t>
  </si>
  <si>
    <t>ONDOA JEAN</t>
  </si>
  <si>
    <t>NDJOCK THADDEE R</t>
  </si>
  <si>
    <t>OMGBA FOUDA S P</t>
  </si>
  <si>
    <t>EBOGO BIKOULA G</t>
  </si>
  <si>
    <t>MBARGA GASTON</t>
  </si>
  <si>
    <t>OMGBA GAETAN</t>
  </si>
  <si>
    <t>NSOA MBONDO PIERRE</t>
  </si>
  <si>
    <t>ETOA YVES</t>
  </si>
  <si>
    <t>ESSALA ETIENNE</t>
  </si>
  <si>
    <t>BANGA NNA ISRAEL</t>
  </si>
  <si>
    <t>NSOE NKOULI</t>
  </si>
  <si>
    <t>EWALA JACQUES Ph</t>
  </si>
  <si>
    <t>NWIND MANDEL</t>
  </si>
  <si>
    <t>NKOLOO NGAH E</t>
  </si>
  <si>
    <t>total</t>
  </si>
  <si>
    <t>inscriptions</t>
  </si>
  <si>
    <t>SEC NOV</t>
  </si>
  <si>
    <t>SEC DEC</t>
  </si>
  <si>
    <t>SEC JANV</t>
  </si>
  <si>
    <t>SEC FEV</t>
  </si>
  <si>
    <t>SEC MAI</t>
  </si>
  <si>
    <t>SEC JUIN</t>
  </si>
  <si>
    <t>SEC JUIL</t>
  </si>
  <si>
    <t>SEC AOUT</t>
  </si>
  <si>
    <t>SEC SEPT</t>
  </si>
  <si>
    <t>SEC OCT</t>
  </si>
  <si>
    <t>TOTAL</t>
  </si>
  <si>
    <t xml:space="preserve"> NOV</t>
  </si>
  <si>
    <t xml:space="preserve"> DEC</t>
  </si>
  <si>
    <t>JANV</t>
  </si>
  <si>
    <t xml:space="preserve"> FEV</t>
  </si>
  <si>
    <t>MARS</t>
  </si>
  <si>
    <t xml:space="preserve"> AVRIL</t>
  </si>
  <si>
    <t xml:space="preserve"> MAI</t>
  </si>
  <si>
    <t xml:space="preserve"> JUIN</t>
  </si>
  <si>
    <t>JUIL</t>
  </si>
  <si>
    <t>AOUT</t>
  </si>
  <si>
    <t xml:space="preserve"> SEPT</t>
  </si>
  <si>
    <t xml:space="preserve"> OCT</t>
  </si>
  <si>
    <t>EP +INT2</t>
  </si>
  <si>
    <t>EP +INT3</t>
  </si>
  <si>
    <t>EP+INT4</t>
  </si>
  <si>
    <t>EP+INT5</t>
  </si>
  <si>
    <t>EP+INT6</t>
  </si>
  <si>
    <t>EP+INT7</t>
  </si>
  <si>
    <t>EP+INT8</t>
  </si>
  <si>
    <t>EP+INT9</t>
  </si>
  <si>
    <t>SEC MAR</t>
  </si>
  <si>
    <t>SEC AVR</t>
  </si>
  <si>
    <t xml:space="preserve"> </t>
  </si>
  <si>
    <t>SECOURS</t>
  </si>
  <si>
    <t>Noms et prénoms</t>
  </si>
  <si>
    <t>NOV</t>
  </si>
  <si>
    <t>DEC</t>
  </si>
  <si>
    <t>TSANGA TSANGA CHRISTOL</t>
  </si>
  <si>
    <t>EP+INT94</t>
  </si>
  <si>
    <t>BUREAU</t>
  </si>
  <si>
    <t>TSANGA TSANGA Christol</t>
  </si>
  <si>
    <t>EP AOUT+INT</t>
  </si>
  <si>
    <t>EP OCTO</t>
  </si>
  <si>
    <t>EP AVRI</t>
  </si>
  <si>
    <t>EP JUILL</t>
  </si>
  <si>
    <t>NOAH Michel Patrick</t>
  </si>
  <si>
    <t>MAMA Paul</t>
  </si>
  <si>
    <t>REM AOUT</t>
  </si>
  <si>
    <t>REM SEPT</t>
  </si>
  <si>
    <t>AOUT+INT</t>
  </si>
  <si>
    <t>SEPT+INT</t>
  </si>
  <si>
    <t>PRET AOUT</t>
  </si>
  <si>
    <t>REM OCT</t>
  </si>
  <si>
    <t>PRET OCT</t>
  </si>
  <si>
    <t>R-INT-OCT</t>
  </si>
  <si>
    <t>NOV+INT</t>
  </si>
  <si>
    <t>R-INT-NOV</t>
  </si>
  <si>
    <t>REM NOV</t>
  </si>
  <si>
    <t>PRET NOV</t>
  </si>
  <si>
    <t>REPPRE-NOV</t>
  </si>
  <si>
    <t>REPPRE-SEPT</t>
  </si>
  <si>
    <t>REPPRE-OCT</t>
  </si>
  <si>
    <t>REM DEC</t>
  </si>
  <si>
    <t>PRET DEC</t>
  </si>
  <si>
    <t>REPPRE-AOUT</t>
  </si>
  <si>
    <t>PRET SEPT</t>
  </si>
  <si>
    <t>REPPRE-JUIL</t>
  </si>
  <si>
    <t>REM JUIL</t>
  </si>
  <si>
    <t>PRET JUIL</t>
  </si>
  <si>
    <t>REPPRE-DEC</t>
  </si>
  <si>
    <t>REM JANV</t>
  </si>
  <si>
    <t>PRET JAN</t>
  </si>
  <si>
    <t>REPPRE-JAN</t>
  </si>
  <si>
    <t>REM FEV</t>
  </si>
  <si>
    <t>PRET FEV</t>
  </si>
  <si>
    <t>REPPRE-FEV</t>
  </si>
  <si>
    <t>REM MARS</t>
  </si>
  <si>
    <t>PRET MARS</t>
  </si>
  <si>
    <t>PRET AVR</t>
  </si>
  <si>
    <t>REM AVR</t>
  </si>
  <si>
    <t>REPPRE-AVR</t>
  </si>
  <si>
    <t>REPPRE-MARS</t>
  </si>
  <si>
    <t>REM MAI</t>
  </si>
  <si>
    <t>PRET MAI</t>
  </si>
  <si>
    <t>REPPRE-MAI</t>
  </si>
  <si>
    <t>REM JUIN</t>
  </si>
  <si>
    <t>PRET JUIN</t>
  </si>
  <si>
    <t>REPPRE-JUIN</t>
  </si>
  <si>
    <t>CUMU-AOUT</t>
  </si>
  <si>
    <t>CUMU-SEPT</t>
  </si>
  <si>
    <t>CUMU-OCT</t>
  </si>
  <si>
    <t>CUMU-NOV</t>
  </si>
  <si>
    <t>DEC+INT</t>
  </si>
  <si>
    <t>OCT +INT</t>
  </si>
  <si>
    <t>R-INT-DEC</t>
  </si>
  <si>
    <t>CUMU-DEC</t>
  </si>
  <si>
    <t>JAN+INT</t>
  </si>
  <si>
    <t>R-INT-JAN</t>
  </si>
  <si>
    <t>CUMU-JAN</t>
  </si>
  <si>
    <t>FEV+INT</t>
  </si>
  <si>
    <t>R-INT-FEV</t>
  </si>
  <si>
    <t>CUMU-FEV</t>
  </si>
  <si>
    <t>MARS+INT</t>
  </si>
  <si>
    <t>R-INT-MARS</t>
  </si>
  <si>
    <t>CUMU-MARS</t>
  </si>
  <si>
    <t>AVR+INT</t>
  </si>
  <si>
    <t>R-INT-AVR</t>
  </si>
  <si>
    <t>CUMU-AVR</t>
  </si>
  <si>
    <t>MAI+INT</t>
  </si>
  <si>
    <t>R-INT-MAI</t>
  </si>
  <si>
    <t>CUMU-MAI</t>
  </si>
  <si>
    <t>JUIN+INT</t>
  </si>
  <si>
    <t>R-INT-JUIN</t>
  </si>
  <si>
    <t>CUMU-JUIN</t>
  </si>
  <si>
    <t>JUIL+INT</t>
  </si>
  <si>
    <t>R-INT-JUIL</t>
  </si>
  <si>
    <t>CUMU-JUIL</t>
  </si>
  <si>
    <t>R-INT-SEP2</t>
  </si>
  <si>
    <t>R-INT-AOUT</t>
  </si>
  <si>
    <t>SECOURS / CAYA</t>
  </si>
  <si>
    <t>AUTRES / FETE</t>
  </si>
  <si>
    <t>ABENG ZE Jean Claude</t>
  </si>
  <si>
    <t>BANGA NNA Israel</t>
  </si>
  <si>
    <t>BISSAI BI NOMBO Fabrice</t>
  </si>
  <si>
    <t>BOMBA FOUDA Mathieu</t>
  </si>
  <si>
    <t>EBOGO BIKOULA Gilbert</t>
  </si>
  <si>
    <t>ESSALA Etienne</t>
  </si>
  <si>
    <t>ETOA Yves</t>
  </si>
  <si>
    <t>EWALA Jacques Philippe</t>
  </si>
  <si>
    <t>FOTUE KAMGUE Kevin</t>
  </si>
  <si>
    <t>IPOULE Michel Landry</t>
  </si>
  <si>
    <t>ITOP Samuel</t>
  </si>
  <si>
    <t>LIKENG BALABA</t>
  </si>
  <si>
    <t>MAMA Paul Yannick</t>
  </si>
  <si>
    <t>MANI EKOUDI François M.</t>
  </si>
  <si>
    <t>MBA ENYOUGOU Bernard</t>
  </si>
  <si>
    <t>MBADI Homer Paul</t>
  </si>
  <si>
    <t>MBAMBA NSOA Jean Paul</t>
  </si>
  <si>
    <t>MENGUE François Xavier</t>
  </si>
  <si>
    <t>MIONG RIGOBERT Dieudonné</t>
  </si>
  <si>
    <t>NDJOCK Thaddée Rodrigue</t>
  </si>
  <si>
    <t>NKOLO NGAH Emmanuel</t>
  </si>
  <si>
    <t>NOAH Patrick Michel Brice</t>
  </si>
  <si>
    <t>NONBO Marc</t>
  </si>
  <si>
    <t>NSOA MBONDO Pierre</t>
  </si>
  <si>
    <t>NSOE NKOULI Jean-Baptiste</t>
  </si>
  <si>
    <t>NYECK PONDI Etienne</t>
  </si>
  <si>
    <t>OMGBA FOUDA Simon Pierre</t>
  </si>
  <si>
    <t>OMGBA MIMBOE Gaetan</t>
  </si>
  <si>
    <t>ONANA NKADA Laurent S.</t>
  </si>
  <si>
    <t>ONDOA Jean</t>
  </si>
  <si>
    <t>ZE ANDJE Eric</t>
  </si>
  <si>
    <t>LIKENG BALEBA</t>
  </si>
  <si>
    <t>TOTAL REM</t>
  </si>
  <si>
    <t>INTE</t>
  </si>
  <si>
    <t>PRETS</t>
  </si>
  <si>
    <t>RAPAYER</t>
  </si>
  <si>
    <t>EP +INT1</t>
  </si>
  <si>
    <t>CUMUL11</t>
  </si>
  <si>
    <t>REMB25</t>
  </si>
  <si>
    <t>Colonne1</t>
  </si>
  <si>
    <t>interets</t>
  </si>
  <si>
    <t>N°</t>
  </si>
  <si>
    <t>NOM</t>
  </si>
  <si>
    <t>EPARGNE</t>
  </si>
  <si>
    <t>INTERET</t>
  </si>
  <si>
    <t>REM PRETS</t>
  </si>
  <si>
    <t>INTER</t>
  </si>
  <si>
    <t>REMB</t>
  </si>
  <si>
    <t>RESTE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</si>
</sst>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19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2060"/>
      <name val="Calibri"/>
      <scheme val="minor"/>
    </font>
    <font>
      <sz val="11"/>
      <color rgb="FF00B050"/>
      <name val="Calibri"/>
      <scheme val="minor"/>
    </font>
    <font>
      <sz val="11"/>
      <color rgb="FF7030A0"/>
      <name val="Calibri"/>
      <scheme val="minor"/>
    </font>
    <font>
      <sz val="11"/>
      <color rgb="FFFFCC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92D050"/>
        <bgColor theme="9" tint="0.79998168889431442"/>
      </patternFill>
    </fill>
    <fill>
      <patternFill patternType="solid">
        <fgColor rgb="FFFFC000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/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/>
    <xf numFmtId="0" fontId="5" fillId="5" borderId="0" xfId="0" applyFont="1" applyFill="1" applyAlignment="1">
      <alignment horizont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0" fontId="2" fillId="7" borderId="0" xfId="0" applyFont="1" applyFill="1"/>
    <xf numFmtId="0" fontId="2" fillId="0" borderId="2" xfId="0" applyFont="1" applyBorder="1"/>
    <xf numFmtId="0" fontId="0" fillId="3" borderId="0" xfId="0" applyFill="1"/>
    <xf numFmtId="0" fontId="11" fillId="3" borderId="0" xfId="0" applyFont="1" applyFill="1"/>
    <xf numFmtId="0" fontId="2" fillId="2" borderId="0" xfId="0" applyFont="1" applyFill="1"/>
    <xf numFmtId="0" fontId="12" fillId="3" borderId="0" xfId="0" applyFont="1" applyFill="1"/>
    <xf numFmtId="0" fontId="2" fillId="2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4" borderId="0" xfId="0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quotePrefix="1" applyFont="1"/>
    <xf numFmtId="0" fontId="13" fillId="0" borderId="0" xfId="0" applyFont="1" applyAlignment="1">
      <alignment horizontal="center"/>
    </xf>
    <xf numFmtId="0" fontId="14" fillId="12" borderId="0" xfId="0" applyFont="1" applyFill="1"/>
    <xf numFmtId="0" fontId="4" fillId="0" borderId="0" xfId="0" applyFont="1" applyAlignment="1">
      <alignment horizontal="left"/>
    </xf>
    <xf numFmtId="0" fontId="16" fillId="0" borderId="1" xfId="0" applyFont="1" applyBorder="1" applyAlignment="1">
      <alignment horizontal="center"/>
    </xf>
    <xf numFmtId="0" fontId="15" fillId="12" borderId="0" xfId="0" applyFont="1" applyFill="1" applyAlignment="1">
      <alignment horizontal="center" vertical="center"/>
    </xf>
    <xf numFmtId="164" fontId="11" fillId="8" borderId="0" xfId="0" applyNumberFormat="1" applyFont="1" applyFill="1"/>
    <xf numFmtId="164" fontId="11" fillId="2" borderId="0" xfId="0" applyNumberFormat="1" applyFont="1" applyFill="1"/>
    <xf numFmtId="164" fontId="11" fillId="3" borderId="0" xfId="0" applyNumberFormat="1" applyFont="1" applyFill="1"/>
    <xf numFmtId="164" fontId="2" fillId="0" borderId="0" xfId="0" applyNumberFormat="1" applyFont="1"/>
    <xf numFmtId="164" fontId="2" fillId="2" borderId="0" xfId="0" applyNumberFormat="1" applyFont="1" applyFill="1"/>
    <xf numFmtId="164" fontId="7" fillId="0" borderId="0" xfId="0" applyNumberFormat="1" applyFont="1"/>
    <xf numFmtId="164" fontId="11" fillId="10" borderId="0" xfId="0" applyNumberFormat="1" applyFont="1" applyFill="1"/>
    <xf numFmtId="164" fontId="11" fillId="8" borderId="3" xfId="0" applyNumberFormat="1" applyFont="1" applyFill="1" applyBorder="1"/>
    <xf numFmtId="164" fontId="11" fillId="2" borderId="3" xfId="0" applyNumberFormat="1" applyFont="1" applyFill="1" applyBorder="1"/>
    <xf numFmtId="164" fontId="0" fillId="0" borderId="0" xfId="0" applyNumberFormat="1"/>
    <xf numFmtId="164" fontId="11" fillId="4" borderId="0" xfId="0" applyNumberFormat="1" applyFont="1" applyFill="1"/>
    <xf numFmtId="164" fontId="11" fillId="13" borderId="0" xfId="0" applyNumberFormat="1" applyFont="1" applyFill="1"/>
    <xf numFmtId="164" fontId="11" fillId="9" borderId="0" xfId="0" applyNumberFormat="1" applyFont="1" applyFill="1"/>
    <xf numFmtId="164" fontId="11" fillId="4" borderId="3" xfId="0" applyNumberFormat="1" applyFont="1" applyFill="1" applyBorder="1"/>
    <xf numFmtId="164" fontId="11" fillId="14" borderId="0" xfId="0" applyNumberFormat="1" applyFont="1" applyFill="1"/>
    <xf numFmtId="164" fontId="13" fillId="2" borderId="3" xfId="0" applyNumberFormat="1" applyFont="1" applyFill="1" applyBorder="1"/>
    <xf numFmtId="164" fontId="13" fillId="2" borderId="0" xfId="0" applyNumberFormat="1" applyFont="1" applyFill="1"/>
    <xf numFmtId="164" fontId="11" fillId="6" borderId="0" xfId="0" applyNumberFormat="1" applyFont="1" applyFill="1"/>
    <xf numFmtId="164" fontId="13" fillId="15" borderId="3" xfId="0" applyNumberFormat="1" applyFont="1" applyFill="1" applyBorder="1"/>
    <xf numFmtId="164" fontId="1" fillId="0" borderId="0" xfId="0" applyNumberFormat="1" applyFont="1"/>
    <xf numFmtId="164" fontId="11" fillId="0" borderId="0" xfId="0" applyNumberFormat="1" applyFont="1"/>
    <xf numFmtId="0" fontId="2" fillId="0" borderId="0" xfId="0" applyFont="1" applyAlignment="1">
      <alignment horizontal="left"/>
    </xf>
    <xf numFmtId="164" fontId="0" fillId="3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164" fontId="6" fillId="0" borderId="0" xfId="0" applyNumberFormat="1" applyFont="1"/>
    <xf numFmtId="164" fontId="1" fillId="0" borderId="2" xfId="0" applyNumberFormat="1" applyFont="1" applyBorder="1"/>
    <xf numFmtId="164" fontId="8" fillId="0" borderId="0" xfId="0" applyNumberFormat="1" applyFont="1"/>
    <xf numFmtId="164" fontId="9" fillId="0" borderId="0" xfId="0" applyNumberFormat="1" applyFont="1"/>
    <xf numFmtId="0" fontId="18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7" borderId="3" xfId="0" applyFont="1" applyFill="1" applyBorder="1"/>
    <xf numFmtId="164" fontId="2" fillId="0" borderId="3" xfId="0" applyNumberFormat="1" applyFont="1" applyBorder="1"/>
  </cellXfs>
  <cellStyles count="1">
    <cellStyle name="Normal" xfId="0" builtinId="0"/>
  </cellStyles>
  <dxfs count="2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numFmt numFmtId="164" formatCode="_-* #,##0\ _€_-;\-* #,##0\ _€_-;_-* &quot;-&quot;\ _€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4" displayName="Tableau4" ref="A1:AN37" totalsRowShown="0" headerRowDxfId="199" dataDxfId="198">
  <autoFilter ref="A1:AN37" xr:uid="{00000000-0009-0000-0100-000004000000}"/>
  <tableColumns count="40">
    <tableColumn id="1" xr3:uid="{00000000-0010-0000-0000-000001000000}" name="NOMS ET PRENOMS" dataDxfId="197"/>
    <tableColumn id="2" xr3:uid="{00000000-0010-0000-0000-000002000000}" name="EP AOUT" dataDxfId="196"/>
    <tableColumn id="3" xr3:uid="{00000000-0010-0000-0000-000003000000}" name="EP AOUT+INT" dataDxfId="195">
      <calculatedColumnFormula>B2*(1+38000/4317300)</calculatedColumnFormula>
    </tableColumn>
    <tableColumn id="4" xr3:uid="{00000000-0010-0000-0000-000004000000}" name="EP SEPT" dataDxfId="194"/>
    <tableColumn id="5" xr3:uid="{00000000-0010-0000-0000-000005000000}" name="CUMUL1" dataDxfId="193">
      <calculatedColumnFormula>+D2+C2</calculatedColumnFormula>
    </tableColumn>
    <tableColumn id="6" xr3:uid="{00000000-0010-0000-0000-000006000000}" name="EP +INT1" dataDxfId="192">
      <calculatedColumnFormula>E2*(1+57680/5852300)</calculatedColumnFormula>
    </tableColumn>
    <tableColumn id="7" xr3:uid="{00000000-0010-0000-0000-000007000000}" name="EP OCTO" dataDxfId="191"/>
    <tableColumn id="8" xr3:uid="{00000000-0010-0000-0000-000008000000}" name="CUMUL2" dataDxfId="190">
      <calculatedColumnFormula>+F2+G2</calculatedColumnFormula>
    </tableColumn>
    <tableColumn id="9" xr3:uid="{00000000-0010-0000-0000-000009000000}" name="EP +INT2" dataDxfId="189">
      <calculatedColumnFormula>H2*(1+168480/7089080)</calculatedColumnFormula>
    </tableColumn>
    <tableColumn id="10" xr3:uid="{00000000-0010-0000-0000-00000A000000}" name="EP NOV" dataDxfId="188"/>
    <tableColumn id="11" xr3:uid="{00000000-0010-0000-0000-00000B000000}" name="CUMUL3" dataDxfId="187">
      <calculatedColumnFormula>+I2+J2</calculatedColumnFormula>
    </tableColumn>
    <tableColumn id="12" xr3:uid="{00000000-0010-0000-0000-00000C000000}" name="EP +INT3" dataDxfId="186">
      <calculatedColumnFormula>K2*(1+188880/9211560)</calculatedColumnFormula>
    </tableColumn>
    <tableColumn id="13" xr3:uid="{00000000-0010-0000-0000-00000D000000}" name="EP DEC" dataDxfId="185"/>
    <tableColumn id="14" xr3:uid="{00000000-0010-0000-0000-00000E000000}" name="CUMUL4" dataDxfId="184">
      <calculatedColumnFormula>+L2+M2</calculatedColumnFormula>
    </tableColumn>
    <tableColumn id="15" xr3:uid="{00000000-0010-0000-0000-00000F000000}" name="EP+INT" dataDxfId="183">
      <calculatedColumnFormula>N2*(1+229880/10807440)</calculatedColumnFormula>
    </tableColumn>
    <tableColumn id="16" xr3:uid="{00000000-0010-0000-0000-000010000000}" name="EP JANV" dataDxfId="182"/>
    <tableColumn id="17" xr3:uid="{00000000-0010-0000-0000-000011000000}" name="CUMUL5" dataDxfId="181">
      <calculatedColumnFormula>+O2+P2</calculatedColumnFormula>
    </tableColumn>
    <tableColumn id="18" xr3:uid="{00000000-0010-0000-0000-000012000000}" name="EP+INT4" dataDxfId="180">
      <calculatedColumnFormula>Q2*(1+258720/12010320)</calculatedColumnFormula>
    </tableColumn>
    <tableColumn id="19" xr3:uid="{00000000-0010-0000-0000-000013000000}" name="EP FEV" dataDxfId="179"/>
    <tableColumn id="20" xr3:uid="{00000000-0010-0000-0000-000014000000}" name="CUMUL6" dataDxfId="178">
      <calculatedColumnFormula>+R2+S2</calculatedColumnFormula>
    </tableColumn>
    <tableColumn id="21" xr3:uid="{00000000-0010-0000-0000-000015000000}" name="EP+INT5" dataDxfId="177">
      <calculatedColumnFormula>T2*(1+276600/13176040)</calculatedColumnFormula>
    </tableColumn>
    <tableColumn id="22" xr3:uid="{00000000-0010-0000-0000-000016000000}" name="EP MARS" dataDxfId="176"/>
    <tableColumn id="23" xr3:uid="{00000000-0010-0000-0000-000017000000}" name="CUMUL7" dataDxfId="175">
      <calculatedColumnFormula>+U2+V2</calculatedColumnFormula>
    </tableColumn>
    <tableColumn id="24" xr3:uid="{00000000-0010-0000-0000-000018000000}" name="EP+INT6" dataDxfId="174">
      <calculatedColumnFormula>W2*(1+281720/15349640)</calculatedColumnFormula>
    </tableColumn>
    <tableColumn id="25" xr3:uid="{00000000-0010-0000-0000-000019000000}" name="EP AVRI" dataDxfId="173"/>
    <tableColumn id="26" xr3:uid="{00000000-0010-0000-0000-00001A000000}" name="CUMUL8" dataDxfId="172">
      <calculatedColumnFormula>+X2+Y2</calculatedColumnFormula>
    </tableColumn>
    <tableColumn id="27" xr3:uid="{00000000-0010-0000-0000-00001B000000}" name="EP+INT7" dataDxfId="171">
      <calculatedColumnFormula>Z2*(1+313600/16586360)</calculatedColumnFormula>
    </tableColumn>
    <tableColumn id="28" xr3:uid="{00000000-0010-0000-0000-00001C000000}" name="EP MAI" dataDxfId="170"/>
    <tableColumn id="29" xr3:uid="{00000000-0010-0000-0000-00001D000000}" name="CUMUL9" dataDxfId="169">
      <calculatedColumnFormula>+AA2+AB2</calculatedColumnFormula>
    </tableColumn>
    <tableColumn id="30" xr3:uid="{00000000-0010-0000-0000-00001E000000}" name="EP+INT8" dataDxfId="168">
      <calculatedColumnFormula>AC2*(1+321600/17662960)</calculatedColumnFormula>
    </tableColumn>
    <tableColumn id="31" xr3:uid="{00000000-0010-0000-0000-00001F000000}" name="EP JUIN" dataDxfId="167"/>
    <tableColumn id="32" xr3:uid="{00000000-0010-0000-0000-000020000000}" name="CUMUL10" dataDxfId="166">
      <calculatedColumnFormula>+AD2+AE2</calculatedColumnFormula>
    </tableColumn>
    <tableColumn id="33" xr3:uid="{00000000-0010-0000-0000-000021000000}" name="EP+INT9" dataDxfId="165">
      <calculatedColumnFormula>AF2*(1+333320/18946560)</calculatedColumnFormula>
    </tableColumn>
    <tableColumn id="45" xr3:uid="{00000000-0010-0000-0000-00002D000000}" name="EP JUILL" dataDxfId="164"/>
    <tableColumn id="46" xr3:uid="{00000000-0010-0000-0000-00002E000000}" name="CUMUL11" dataDxfId="163">
      <calculatedColumnFormula>+AG2+AH2</calculatedColumnFormula>
    </tableColumn>
    <tableColumn id="44" xr3:uid="{00000000-0010-0000-0000-00002C000000}" name="EP+INT94" dataDxfId="162">
      <calculatedColumnFormula>AI2*(1+1/19279881)</calculatedColumnFormula>
    </tableColumn>
    <tableColumn id="34" xr3:uid="{00000000-0010-0000-0000-000022000000}" name="EP TOTALE" dataDxfId="161">
      <calculatedColumnFormula>B2+D2+G2+J2+M2+P2+S2+V2+Y2+AB2+AE2</calculatedColumnFormula>
    </tableColumn>
    <tableColumn id="35" xr3:uid="{00000000-0010-0000-0000-000023000000}" name="INTERETS" dataDxfId="160">
      <calculatedColumnFormula>-AK2+AJ2</calculatedColumnFormula>
    </tableColumn>
    <tableColumn id="36" xr3:uid="{00000000-0010-0000-0000-000024000000}" name="N A P" dataDxfId="159">
      <calculatedColumnFormula>Tableau4[[#This Row],[EP TOTALE]]+Tableau4[[#This Row],[INTERETS]]</calculatedColumnFormula>
    </tableColumn>
    <tableColumn id="37" xr3:uid="{252729CB-993D-4E99-8920-B5343A6E7290}" name="Colonne1" dataDxfId="158">
      <calculatedColumnFormula>Tableau4[[#This Row],[EP TOTALE]]*AK$40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O34" totalsRowShown="0" headerRowDxfId="157" dataDxfId="156">
  <autoFilter ref="A1:O34" xr:uid="{00000000-0009-0000-0100-000002000000}"/>
  <tableColumns count="15">
    <tableColumn id="1" xr3:uid="{00000000-0010-0000-0100-000001000000}" name="NOMS ET PRENOMS" dataDxfId="155"/>
    <tableColumn id="2" xr3:uid="{00000000-0010-0000-0100-000002000000}" name="inscriptions" dataDxfId="154"/>
    <tableColumn id="3" xr3:uid="{00000000-0010-0000-0100-000003000000}" name="SEC SEPT" dataDxfId="153"/>
    <tableColumn id="18" xr3:uid="{00000000-0010-0000-0100-000012000000}" name="SEC OCT" dataDxfId="152"/>
    <tableColumn id="17" xr3:uid="{00000000-0010-0000-0100-000011000000}" name="SEC NOV" dataDxfId="151"/>
    <tableColumn id="4" xr3:uid="{00000000-0010-0000-0100-000004000000}" name="SEC DEC" dataDxfId="150"/>
    <tableColumn id="5" xr3:uid="{00000000-0010-0000-0100-000005000000}" name="SEC JANV" dataDxfId="149"/>
    <tableColumn id="6" xr3:uid="{00000000-0010-0000-0100-000006000000}" name="SEC FEV" dataDxfId="148"/>
    <tableColumn id="7" xr3:uid="{00000000-0010-0000-0100-000007000000}" name="SEC MAR" dataDxfId="147"/>
    <tableColumn id="8" xr3:uid="{00000000-0010-0000-0100-000008000000}" name="SEC AVR" dataDxfId="146"/>
    <tableColumn id="9" xr3:uid="{00000000-0010-0000-0100-000009000000}" name="SEC MAI" dataDxfId="145"/>
    <tableColumn id="10" xr3:uid="{00000000-0010-0000-0100-00000A000000}" name="SEC JUIN" dataDxfId="144"/>
    <tableColumn id="11" xr3:uid="{00000000-0010-0000-0100-00000B000000}" name="SEC JUIL" dataDxfId="143"/>
    <tableColumn id="12" xr3:uid="{00000000-0010-0000-0100-00000C000000}" name="SEC AOUT" dataDxfId="142"/>
    <tableColumn id="15" xr3:uid="{00000000-0010-0000-0100-00000F000000}" name="TOTAL" dataDxfId="141">
      <calculatedColumnFormula>+SUM(C2:N2)</calculatedColumnFormula>
    </tableColumn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9125EA-F6AD-45AA-9DD6-B12E1B7EE5CA}" name="Tableau44" displayName="Tableau44" ref="A1:AM37" totalsRowShown="0" headerRowDxfId="140" dataDxfId="139">
  <autoFilter ref="A1:AM37" xr:uid="{00000000-0009-0000-0100-000004000000}"/>
  <tableColumns count="39">
    <tableColumn id="1" xr3:uid="{0EC37685-A655-48BE-860B-FEF1BF386A08}" name="NOMS ET PRENOMS" dataDxfId="138"/>
    <tableColumn id="2" xr3:uid="{5A28194C-7190-4136-93B9-31D7BF8417CF}" name="EP AOUT" dataDxfId="137"/>
    <tableColumn id="3" xr3:uid="{05C2267F-E4BE-4827-BF84-76B17B456492}" name="EP AOUT+INT" dataDxfId="136">
      <calculatedColumnFormula>B2*(1+(intérêts25!B$34)/(B$37))</calculatedColumnFormula>
    </tableColumn>
    <tableColumn id="4" xr3:uid="{57F6D5DD-3984-4CD6-AFBB-213C76279A7E}" name="EP SEPT" dataDxfId="135"/>
    <tableColumn id="5" xr3:uid="{7D6D3743-E05A-4D77-8B52-39D7C1F55404}" name="CUMUL1" dataDxfId="134">
      <calculatedColumnFormula>+D2+C2</calculatedColumnFormula>
    </tableColumn>
    <tableColumn id="6" xr3:uid="{35C7E946-AA74-4C59-A2D8-7E0254803094}" name="EP +INT1" dataDxfId="133">
      <calculatedColumnFormula>+E2*(1+(intérêts25!C$34)/(E$37))</calculatedColumnFormula>
    </tableColumn>
    <tableColumn id="7" xr3:uid="{EB3B95F5-264F-477C-A7DD-5D39AE7FFA2C}" name="EP OCTO" dataDxfId="132"/>
    <tableColumn id="8" xr3:uid="{45D4C51C-82AA-4750-A60B-8ABEA872BA56}" name="CUMUL2" dataDxfId="131">
      <calculatedColumnFormula>+F2+G2</calculatedColumnFormula>
    </tableColumn>
    <tableColumn id="9" xr3:uid="{6D8CA0F6-B49D-4951-81B0-A654493774DE}" name="EP +INT2" dataDxfId="130">
      <calculatedColumnFormula>+H2*(1+(intérêts25!D$34)/(H$37))</calculatedColumnFormula>
    </tableColumn>
    <tableColumn id="10" xr3:uid="{EAD8883F-32B8-46FA-9A83-245EA4D6BF96}" name="EP NOV" dataDxfId="129"/>
    <tableColumn id="11" xr3:uid="{C7EC181D-2E96-41D7-888B-1BF08FD958B5}" name="CUMUL3" dataDxfId="128">
      <calculatedColumnFormula>+I2+J2</calculatedColumnFormula>
    </tableColumn>
    <tableColumn id="12" xr3:uid="{6EA659F0-031F-46B5-ACBF-3A13D29FBA13}" name="EP +INT3" dataDxfId="127">
      <calculatedColumnFormula>+K2*(1+(intérêts25!E$34)/(K$37))</calculatedColumnFormula>
    </tableColumn>
    <tableColumn id="13" xr3:uid="{B0BA6130-3370-4D10-85BF-839F413CAD39}" name="EP DEC" dataDxfId="126"/>
    <tableColumn id="14" xr3:uid="{B779C145-38EF-43C7-8014-22C01E5F45B3}" name="CUMUL4" dataDxfId="125">
      <calculatedColumnFormula>+L2+M2</calculatedColumnFormula>
    </tableColumn>
    <tableColumn id="15" xr3:uid="{8B774C8F-6F86-4EE7-85FC-32993FE9891D}" name="EP+INT" dataDxfId="124">
      <calculatedColumnFormula>+N2*(1+(intérêts25!F$34)/(N$37))</calculatedColumnFormula>
    </tableColumn>
    <tableColumn id="16" xr3:uid="{87694A2A-D10D-40C2-9F69-62460A835DC9}" name="EP JANV" dataDxfId="123"/>
    <tableColumn id="17" xr3:uid="{ACFA5818-E2A1-46B7-A2EB-ECAB060E3EA5}" name="CUMUL5" dataDxfId="122">
      <calculatedColumnFormula>+O2+P2</calculatedColumnFormula>
    </tableColumn>
    <tableColumn id="18" xr3:uid="{9F674BA5-7F09-4AA1-91B2-0AB8F858A8D8}" name="EP+INT4" dataDxfId="121">
      <calculatedColumnFormula>+Q2*(1+(intérêts25!G$34)/(Q$37))</calculatedColumnFormula>
    </tableColumn>
    <tableColumn id="19" xr3:uid="{88D33673-9724-46A8-90BA-36D02AD516AB}" name="EP FEV" dataDxfId="120"/>
    <tableColumn id="20" xr3:uid="{8D151D1B-6124-45D8-8FAA-9E723E8BA187}" name="CUMUL6" dataDxfId="119">
      <calculatedColumnFormula>+R2+S2</calculatedColumnFormula>
    </tableColumn>
    <tableColumn id="21" xr3:uid="{69B2E2D1-359E-4899-BC04-2E17DDF43BCD}" name="EP+INT5" dataDxfId="118">
      <calculatedColumnFormula>+T2*(1+(intérêts25!H$34)/(T$37))</calculatedColumnFormula>
    </tableColumn>
    <tableColumn id="22" xr3:uid="{5E502134-F9E7-4ED5-852A-755C71CD8ED9}" name="EP MARS" dataDxfId="117"/>
    <tableColumn id="23" xr3:uid="{677FC610-C370-4C54-A053-028E3F9472AF}" name="CUMUL7" dataDxfId="116">
      <calculatedColumnFormula>+U2+V2</calculatedColumnFormula>
    </tableColumn>
    <tableColumn id="24" xr3:uid="{7387DF8C-D0F9-4791-A814-2AAE75C4655D}" name="EP+INT6" dataDxfId="115">
      <calculatedColumnFormula>+W2*(1+(intérêts25!I$34)/(W$37))</calculatedColumnFormula>
    </tableColumn>
    <tableColumn id="25" xr3:uid="{C4BB812C-B8C7-48E8-BFFF-E74E4D00B9F5}" name="EP AVRI" dataDxfId="114"/>
    <tableColumn id="26" xr3:uid="{FDB808F4-90A4-4B50-A439-FF7BA8BE911C}" name="CUMUL8" dataDxfId="113">
      <calculatedColumnFormula>+X2+Y2</calculatedColumnFormula>
    </tableColumn>
    <tableColumn id="27" xr3:uid="{1DF22C6E-0443-4B19-A6C0-BF1D0E89E70A}" name="EP+INT7" dataDxfId="112">
      <calculatedColumnFormula>+Z2*(1+(intérêts25!J$34)/(Z$37))</calculatedColumnFormula>
    </tableColumn>
    <tableColumn id="28" xr3:uid="{810B3EE0-4ECC-4F9E-8F24-931E8B30043C}" name="EP MAI" dataDxfId="111"/>
    <tableColumn id="29" xr3:uid="{85A20C71-4C0A-4877-89B8-A575527D6F68}" name="CUMUL9" dataDxfId="110">
      <calculatedColumnFormula>+AA2+AB2</calculatedColumnFormula>
    </tableColumn>
    <tableColumn id="30" xr3:uid="{FBF4A8E1-AD36-44DD-B63F-EDA8D6B07682}" name="EP+INT8" dataDxfId="109">
      <calculatedColumnFormula>+AC2*(1+(intérêts25!K$34)/(AC$37))</calculatedColumnFormula>
    </tableColumn>
    <tableColumn id="31" xr3:uid="{1FBC1324-8339-479A-A88C-CE1997CB833D}" name="EP JUIN" dataDxfId="108"/>
    <tableColumn id="32" xr3:uid="{5EA9496A-59EF-412F-A2F1-49FF29D077F8}" name="CUMUL10" dataDxfId="107">
      <calculatedColumnFormula>+AD2+AE2</calculatedColumnFormula>
    </tableColumn>
    <tableColumn id="33" xr3:uid="{FEBB0383-D3B9-456E-82F6-CCBA3503ECAB}" name="EP+INT9" dataDxfId="106">
      <calculatedColumnFormula>+AF2*(1+(intérêts25!L$34)/(AF$37))</calculatedColumnFormula>
    </tableColumn>
    <tableColumn id="45" xr3:uid="{3868B9CD-6795-4F40-B36F-D34B80FAE23D}" name="EP JUILL" dataDxfId="105"/>
    <tableColumn id="46" xr3:uid="{D0BF310C-4847-4132-BF87-C3C44493F076}" name="CUMUL11" dataDxfId="104">
      <calculatedColumnFormula>+AG2+AH2</calculatedColumnFormula>
    </tableColumn>
    <tableColumn id="44" xr3:uid="{095C7DE0-0E6F-4A2F-A8A5-77CB3B1C9C75}" name="EP+INT94" dataDxfId="103">
      <calculatedColumnFormula>+AI2*(1+(intérêts25!M$34)/(AI$37))</calculatedColumnFormula>
    </tableColumn>
    <tableColumn id="34" xr3:uid="{A1161D99-DDA3-450A-BF47-1402B0B9043F}" name="EP TOTALE" dataDxfId="102">
      <calculatedColumnFormula>B2+D2+G2+J2+M2+P2+S2+V2+Y2+AB2+AE2</calculatedColumnFormula>
    </tableColumn>
    <tableColumn id="35" xr3:uid="{CFA05270-C55F-44EE-B0D3-BC01E8C28CAA}" name="INTERETS" dataDxfId="101">
      <calculatedColumnFormula>-AK2+AJ2</calculatedColumnFormula>
    </tableColumn>
    <tableColumn id="36" xr3:uid="{66D6D208-1751-4F4B-9DB5-5F63D1CA232B}" name="N A P" dataDxfId="100">
      <calculatedColumnFormula>Tableau44[[#This Row],[EP TOTALE]]+Tableau44[[#This Row],[INTERETS]]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au1" displayName="Tableau1" ref="A1:N33" totalsRowShown="0" headerRowDxfId="99" dataDxfId="98">
  <autoFilter ref="A1:N33" xr:uid="{00000000-0009-0000-0100-000001000000}"/>
  <tableColumns count="14">
    <tableColumn id="1" xr3:uid="{00000000-0010-0000-0200-000001000000}" name="NOMS ET PRENOMS" dataDxfId="97"/>
    <tableColumn id="2" xr3:uid="{00000000-0010-0000-0200-000002000000}" name=" NOV" dataDxfId="96"/>
    <tableColumn id="3" xr3:uid="{00000000-0010-0000-0200-000003000000}" name=" DEC" dataDxfId="95"/>
    <tableColumn id="4" xr3:uid="{00000000-0010-0000-0200-000004000000}" name="JANV" dataDxfId="94"/>
    <tableColumn id="5" xr3:uid="{00000000-0010-0000-0200-000005000000}" name=" FEV" dataDxfId="93"/>
    <tableColumn id="6" xr3:uid="{00000000-0010-0000-0200-000006000000}" name="MARS" dataDxfId="92"/>
    <tableColumn id="7" xr3:uid="{00000000-0010-0000-0200-000007000000}" name=" AVRIL" dataDxfId="91"/>
    <tableColumn id="8" xr3:uid="{00000000-0010-0000-0200-000008000000}" name=" MAI" dataDxfId="90"/>
    <tableColumn id="9" xr3:uid="{00000000-0010-0000-0200-000009000000}" name=" JUIN" dataDxfId="89"/>
    <tableColumn id="10" xr3:uid="{00000000-0010-0000-0200-00000A000000}" name="JUIL" dataDxfId="88"/>
    <tableColumn id="11" xr3:uid="{00000000-0010-0000-0200-00000B000000}" name="AOUT" dataDxfId="87"/>
    <tableColumn id="12" xr3:uid="{00000000-0010-0000-0200-00000C000000}" name=" SEPT" dataDxfId="86"/>
    <tableColumn id="13" xr3:uid="{00000000-0010-0000-0200-00000D000000}" name=" OCT" dataDxfId="85"/>
    <tableColumn id="14" xr3:uid="{00000000-0010-0000-0200-00000E000000}" name="TOTAL" dataDxfId="84">
      <calculatedColumnFormula>+SUM(B2:M2)</calculatedColumnFormula>
    </tableColumn>
  </tableColumns>
  <tableStyleInfo name="TableStyleLight13" showFirstColumn="0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au47" displayName="Tableau47" ref="A1:AN37" totalsRowShown="0" headerRowDxfId="83" dataDxfId="82">
  <autoFilter ref="A1:AN37" xr:uid="{00000000-0009-0000-0100-000006000000}"/>
  <tableColumns count="40">
    <tableColumn id="1" xr3:uid="{00000000-0010-0000-0300-000001000000}" name="NOMS ET PRENOMS" dataDxfId="81"/>
    <tableColumn id="3" xr3:uid="{00000000-0010-0000-0300-000003000000}" name="AOUT+INT" dataDxfId="80">
      <calculatedColumnFormula>((prets!#REF!)*(4/100))</calculatedColumnFormula>
    </tableColumn>
    <tableColumn id="39" xr3:uid="{00000000-0010-0000-0300-000027000000}" name="R-INT-AOUT" dataDxfId="79">
      <calculatedColumnFormula>((PretsNet!D2)*(4/100))</calculatedColumnFormula>
    </tableColumn>
    <tableColumn id="5" xr3:uid="{00000000-0010-0000-0300-000005000000}" name="CUMU-AOUT" dataDxfId="78">
      <calculatedColumnFormula>+#REF!+B2</calculatedColumnFormula>
    </tableColumn>
    <tableColumn id="6" xr3:uid="{00000000-0010-0000-0300-000006000000}" name="SEPT+INT" dataDxfId="77">
      <calculatedColumnFormula>((prets!C2)*(4/100))</calculatedColumnFormula>
    </tableColumn>
    <tableColumn id="2" xr3:uid="{00000000-0010-0000-0300-000002000000}" name="R-INT-SEP2" dataDxfId="76">
      <calculatedColumnFormula>((PretsNet!G2)*(4/100))</calculatedColumnFormula>
    </tableColumn>
    <tableColumn id="8" xr3:uid="{00000000-0010-0000-0300-000008000000}" name="CUMU-SEPT" dataDxfId="75">
      <calculatedColumnFormula>+H2+E2</calculatedColumnFormula>
    </tableColumn>
    <tableColumn id="9" xr3:uid="{00000000-0010-0000-0300-000009000000}" name="OCT +INT" dataDxfId="74">
      <calculatedColumnFormula>((prets!D2)*(4/100))</calculatedColumnFormula>
    </tableColumn>
    <tableColumn id="4" xr3:uid="{00000000-0010-0000-0300-000004000000}" name="R-INT-OCT" dataDxfId="73">
      <calculatedColumnFormula>((PretsNet!J2)*(4/100))</calculatedColumnFormula>
    </tableColumn>
    <tableColumn id="11" xr3:uid="{00000000-0010-0000-0300-00000B000000}" name="CUMU-OCT" dataDxfId="72">
      <calculatedColumnFormula>+H2+#REF!</calculatedColumnFormula>
    </tableColumn>
    <tableColumn id="12" xr3:uid="{00000000-0010-0000-0300-00000C000000}" name="NOV+INT" dataDxfId="71">
      <calculatedColumnFormula>+J2*(1+77100/1425760)</calculatedColumnFormula>
    </tableColumn>
    <tableColumn id="10" xr3:uid="{00000000-0010-0000-0300-00000A000000}" name="R-INT-NOV" dataDxfId="70">
      <calculatedColumnFormula>((PretsNet!M2)*(4/100))</calculatedColumnFormula>
    </tableColumn>
    <tableColumn id="14" xr3:uid="{00000000-0010-0000-0300-00000E000000}" name="CUMU-NOV" dataDxfId="69">
      <calculatedColumnFormula>+K2+#REF!</calculatedColumnFormula>
    </tableColumn>
    <tableColumn id="15" xr3:uid="{00000000-0010-0000-0300-00000F000000}" name="DEC+INT" dataDxfId="68">
      <calculatedColumnFormula>+M2*(1+85300/1554560)</calculatedColumnFormula>
    </tableColumn>
    <tableColumn id="16" xr3:uid="{00000000-0010-0000-0300-000010000000}" name="R-INT-DEC" dataDxfId="67"/>
    <tableColumn id="17" xr3:uid="{00000000-0010-0000-0300-000011000000}" name="CUMU-DEC" dataDxfId="66">
      <calculatedColumnFormula>+N2+O2</calculatedColumnFormula>
    </tableColumn>
    <tableColumn id="18" xr3:uid="{00000000-0010-0000-0300-000012000000}" name="JAN+INT" dataDxfId="65">
      <calculatedColumnFormula>+P2*(1+108300/1711860)</calculatedColumnFormula>
    </tableColumn>
    <tableColumn id="19" xr3:uid="{00000000-0010-0000-0300-000013000000}" name="R-INT-JAN" dataDxfId="64"/>
    <tableColumn id="20" xr3:uid="{00000000-0010-0000-0300-000014000000}" name="CUMU-JAN" dataDxfId="63">
      <calculatedColumnFormula>+Q2+R2</calculatedColumnFormula>
    </tableColumn>
    <tableColumn id="21" xr3:uid="{00000000-0010-0000-0300-000015000000}" name="FEV+INT" dataDxfId="62">
      <calculatedColumnFormula>+S2*(1+113600/1822160)</calculatedColumnFormula>
    </tableColumn>
    <tableColumn id="22" xr3:uid="{00000000-0010-0000-0300-000016000000}" name="R-INT-FEV" dataDxfId="61"/>
    <tableColumn id="23" xr3:uid="{00000000-0010-0000-0300-000017000000}" name="CUMU-FEV" dataDxfId="60">
      <calculatedColumnFormula>+T2+U2</calculatedColumnFormula>
    </tableColumn>
    <tableColumn id="24" xr3:uid="{00000000-0010-0000-0300-000018000000}" name="MARS+INT" dataDxfId="59">
      <calculatedColumnFormula>+V2*(1+125950/2067260)</calculatedColumnFormula>
    </tableColumn>
    <tableColumn id="25" xr3:uid="{00000000-0010-0000-0300-000019000000}" name="R-INT-MARS" dataDxfId="58"/>
    <tableColumn id="26" xr3:uid="{00000000-0010-0000-0300-00001A000000}" name="CUMU-MARS" dataDxfId="57">
      <calculatedColumnFormula>+W2+X2</calculatedColumnFormula>
    </tableColumn>
    <tableColumn id="27" xr3:uid="{00000000-0010-0000-0300-00001B000000}" name="AVR+INT" dataDxfId="56">
      <calculatedColumnFormula>+Y2*(1+110250/2193210)</calculatedColumnFormula>
    </tableColumn>
    <tableColumn id="13" xr3:uid="{00000000-0010-0000-0300-00000D000000}" name="R-INT-AVR" dataDxfId="55">
      <calculatedColumnFormula>((PretsNet!AB2)*(4/100))</calculatedColumnFormula>
    </tableColumn>
    <tableColumn id="37" xr3:uid="{00000000-0010-0000-0300-000025000000}" name="CUMU-AVR" dataDxfId="54">
      <calculatedColumnFormula>+Z2+AA2</calculatedColumnFormula>
    </tableColumn>
    <tableColumn id="28" xr3:uid="{00000000-0010-0000-0300-00001C000000}" name="MAI+INT" dataDxfId="53"/>
    <tableColumn id="29" xr3:uid="{00000000-0010-0000-0300-00001D000000}" name="R-INT-MAI" dataDxfId="52">
      <calculatedColumnFormula>+Z2+AC2</calculatedColumnFormula>
    </tableColumn>
    <tableColumn id="30" xr3:uid="{00000000-0010-0000-0300-00001E000000}" name="CUMU-MAI" dataDxfId="51">
      <calculatedColumnFormula>+AD2*(1+0/2303460)</calculatedColumnFormula>
    </tableColumn>
    <tableColumn id="31" xr3:uid="{00000000-0010-0000-0300-00001F000000}" name="JUIN+INT" dataDxfId="50"/>
    <tableColumn id="32" xr3:uid="{00000000-0010-0000-0300-000020000000}" name="R-INT-JUIN" dataDxfId="49">
      <calculatedColumnFormula>+AE2+AF2</calculatedColumnFormula>
    </tableColumn>
    <tableColumn id="33" xr3:uid="{00000000-0010-0000-0300-000021000000}" name="CUMU-JUIN" dataDxfId="48">
      <calculatedColumnFormula>+AG2*(1+0/2303460)</calculatedColumnFormula>
    </tableColumn>
    <tableColumn id="45" xr3:uid="{00000000-0010-0000-0300-00002D000000}" name="JUIL+INT" dataDxfId="47"/>
    <tableColumn id="46" xr3:uid="{00000000-0010-0000-0300-00002E000000}" name="R-INT-JUIL" dataDxfId="46">
      <calculatedColumnFormula>+AH2+AI2</calculatedColumnFormula>
    </tableColumn>
    <tableColumn id="44" xr3:uid="{00000000-0010-0000-0300-00002C000000}" name="CUMU-JUIL" dataDxfId="45">
      <calculatedColumnFormula>+AJ2*(1+0/2303460)</calculatedColumnFormula>
    </tableColumn>
    <tableColumn id="34" xr3:uid="{00000000-0010-0000-0300-000022000000}" name="EP TOTALE" dataDxfId="44">
      <calculatedColumnFormula>#REF!+#REF!+#REF!+#REF!+#REF!+O2+R2+U2+X2+AC2+AF2</calculatedColumnFormula>
    </tableColumn>
    <tableColumn id="35" xr3:uid="{00000000-0010-0000-0300-000023000000}" name="INTERETS" dataDxfId="43">
      <calculatedColumnFormula>-AL2+AH2</calculatedColumnFormula>
    </tableColumn>
    <tableColumn id="36" xr3:uid="{00000000-0010-0000-0300-000024000000}" name="N A P" dataDxfId="42">
      <calculatedColumnFormula>Tableau47[[#This Row],[EP TOTALE]]+Tableau47[[#This Row],[INTERETS]]</calculatedColumnFormula>
    </tableColumn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au478" displayName="Tableau478" ref="A1:AN26" totalsRowShown="0" headerRowDxfId="41" dataDxfId="40">
  <autoFilter ref="A1:AN26" xr:uid="{00000000-0009-0000-0100-000007000000}"/>
  <sortState xmlns:xlrd2="http://schemas.microsoft.com/office/spreadsheetml/2017/richdata2" ref="A2:AN26">
    <sortCondition ref="A1:A26"/>
  </sortState>
  <tableColumns count="40">
    <tableColumn id="1" xr3:uid="{00000000-0010-0000-0400-000001000000}" name="NOMS ET PRENOMS" dataDxfId="39"/>
    <tableColumn id="2" xr3:uid="{00000000-0010-0000-0400-000002000000}" name="REM AOUT" dataDxfId="38"/>
    <tableColumn id="3" xr3:uid="{00000000-0010-0000-0400-000003000000}" name="PRET AOUT" dataDxfId="37">
      <calculatedColumnFormula>((prets!#REF!)*(4/100))</calculatedColumnFormula>
    </tableColumn>
    <tableColumn id="40" xr3:uid="{00000000-0010-0000-0400-000028000000}" name="REPPRE-AOUT" dataDxfId="36">
      <calculatedColumnFormula>(Tableau478[[#This Row],[PRET JUIL]]+Tableau478[[#This Row],[REPPRE-JUIL]])-Tableau478[[#This Row],[REM AOUT]]</calculatedColumnFormula>
    </tableColumn>
    <tableColumn id="4" xr3:uid="{00000000-0010-0000-0400-000004000000}" name="REM SEPT" dataDxfId="35"/>
    <tableColumn id="5" xr3:uid="{00000000-0010-0000-0400-000005000000}" name="PRET SEPT" dataDxfId="34">
      <calculatedColumnFormula>+E2+C2</calculatedColumnFormula>
    </tableColumn>
    <tableColumn id="6" xr3:uid="{00000000-0010-0000-0400-000006000000}" name="REPPRE-SEPT" dataDxfId="33">
      <calculatedColumnFormula>(C2+D2)-E2</calculatedColumnFormula>
    </tableColumn>
    <tableColumn id="7" xr3:uid="{00000000-0010-0000-0400-000007000000}" name="REM OCT" dataDxfId="32"/>
    <tableColumn id="8" xr3:uid="{00000000-0010-0000-0400-000008000000}" name="PRET OCT" dataDxfId="31">
      <calculatedColumnFormula>prets!D2</calculatedColumnFormula>
    </tableColumn>
    <tableColumn id="9" xr3:uid="{00000000-0010-0000-0400-000009000000}" name="REPPRE-OCT" dataDxfId="30">
      <calculatedColumnFormula>(F2+G2)-H2</calculatedColumnFormula>
    </tableColumn>
    <tableColumn id="10" xr3:uid="{00000000-0010-0000-0400-00000A000000}" name="REM NOV" dataDxfId="29"/>
    <tableColumn id="11" xr3:uid="{00000000-0010-0000-0400-00000B000000}" name="PRET NOV" dataDxfId="28">
      <calculatedColumnFormula>prets!E2</calculatedColumnFormula>
    </tableColumn>
    <tableColumn id="12" xr3:uid="{00000000-0010-0000-0400-00000C000000}" name="REPPRE-NOV" dataDxfId="27">
      <calculatedColumnFormula>(I2+J2)-K2</calculatedColumnFormula>
    </tableColumn>
    <tableColumn id="13" xr3:uid="{00000000-0010-0000-0400-00000D000000}" name="REM DEC" dataDxfId="26"/>
    <tableColumn id="14" xr3:uid="{00000000-0010-0000-0400-00000E000000}" name="PRET DEC" dataDxfId="25">
      <calculatedColumnFormula>prets!F2</calculatedColumnFormula>
    </tableColumn>
    <tableColumn id="15" xr3:uid="{00000000-0010-0000-0400-00000F000000}" name="REPPRE-DEC" dataDxfId="24">
      <calculatedColumnFormula>(L2+M2)-N2</calculatedColumnFormula>
    </tableColumn>
    <tableColumn id="16" xr3:uid="{00000000-0010-0000-0400-000010000000}" name="REM JANV" dataDxfId="23"/>
    <tableColumn id="17" xr3:uid="{00000000-0010-0000-0400-000011000000}" name="PRET JAN" dataDxfId="22">
      <calculatedColumnFormula>prets!G2</calculatedColumnFormula>
    </tableColumn>
    <tableColumn id="18" xr3:uid="{00000000-0010-0000-0400-000012000000}" name="REPPRE-JAN" dataDxfId="21">
      <calculatedColumnFormula>(O2+P2)-Q2</calculatedColumnFormula>
    </tableColumn>
    <tableColumn id="19" xr3:uid="{00000000-0010-0000-0400-000013000000}" name="REM FEV" dataDxfId="20"/>
    <tableColumn id="20" xr3:uid="{00000000-0010-0000-0400-000014000000}" name="PRET FEV" dataDxfId="19">
      <calculatedColumnFormula>+S2+T2</calculatedColumnFormula>
    </tableColumn>
    <tableColumn id="21" xr3:uid="{00000000-0010-0000-0400-000015000000}" name="REPPRE-FEV" dataDxfId="18">
      <calculatedColumnFormula>(R2+S2)-T2</calculatedColumnFormula>
    </tableColumn>
    <tableColumn id="22" xr3:uid="{00000000-0010-0000-0400-000016000000}" name="REM MARS" dataDxfId="17"/>
    <tableColumn id="23" xr3:uid="{00000000-0010-0000-0400-000017000000}" name="PRET MARS" dataDxfId="16">
      <calculatedColumnFormula>+V2+W2</calculatedColumnFormula>
    </tableColumn>
    <tableColumn id="24" xr3:uid="{00000000-0010-0000-0400-000018000000}" name="REPPRE-MARS" dataDxfId="15">
      <calculatedColumnFormula>(U2+V2)-W2</calculatedColumnFormula>
    </tableColumn>
    <tableColumn id="25" xr3:uid="{00000000-0010-0000-0400-000019000000}" name="REM AVR" dataDxfId="14"/>
    <tableColumn id="26" xr3:uid="{00000000-0010-0000-0400-00001A000000}" name="PRET AVR" dataDxfId="13">
      <calculatedColumnFormula>+Y2+Z2</calculatedColumnFormula>
    </tableColumn>
    <tableColumn id="27" xr3:uid="{00000000-0010-0000-0400-00001B000000}" name="REPPRE-AVR" dataDxfId="12">
      <calculatedColumnFormula>(X2+Y2)-Z2</calculatedColumnFormula>
    </tableColumn>
    <tableColumn id="28" xr3:uid="{00000000-0010-0000-0400-00001C000000}" name="REM MAI" dataDxfId="11"/>
    <tableColumn id="29" xr3:uid="{00000000-0010-0000-0400-00001D000000}" name="PRET MAI" dataDxfId="10">
      <calculatedColumnFormula>+AB2+AC2</calculatedColumnFormula>
    </tableColumn>
    <tableColumn id="30" xr3:uid="{00000000-0010-0000-0400-00001E000000}" name="REPPRE-MAI" dataDxfId="9">
      <calculatedColumnFormula>(AA2+AB2)-AC2</calculatedColumnFormula>
    </tableColumn>
    <tableColumn id="31" xr3:uid="{00000000-0010-0000-0400-00001F000000}" name="REM JUIN" dataDxfId="8"/>
    <tableColumn id="32" xr3:uid="{00000000-0010-0000-0400-000020000000}" name="PRET JUIN" dataDxfId="7">
      <calculatedColumnFormula>+AE2+AF2</calculatedColumnFormula>
    </tableColumn>
    <tableColumn id="33" xr3:uid="{00000000-0010-0000-0400-000021000000}" name="REPPRE-JUIN" dataDxfId="6">
      <calculatedColumnFormula>(AD2+AE2)-AF2</calculatedColumnFormula>
    </tableColumn>
    <tableColumn id="45" xr3:uid="{00000000-0010-0000-0400-00002D000000}" name="REM JUIL" dataDxfId="5"/>
    <tableColumn id="46" xr3:uid="{00000000-0010-0000-0400-00002E000000}" name="PRET JUIL" dataDxfId="4">
      <calculatedColumnFormula>+AH2+AI2</calculatedColumnFormula>
    </tableColumn>
    <tableColumn id="44" xr3:uid="{00000000-0010-0000-0400-00002C000000}" name="REPPRE-JUIL" dataDxfId="3">
      <calculatedColumnFormula>+AJ2*(1+0/2303460)</calculatedColumnFormula>
    </tableColumn>
    <tableColumn id="34" xr3:uid="{00000000-0010-0000-0400-000022000000}" name="EP TOTALE" dataDxfId="2">
      <calculatedColumnFormula>B2+E2+H2+K2+N2+Q2+T2+W2+Z2+AC2+AF2</calculatedColumnFormula>
    </tableColumn>
    <tableColumn id="35" xr3:uid="{00000000-0010-0000-0400-000023000000}" name="INTERETS" dataDxfId="1">
      <calculatedColumnFormula>-AL2+AH2</calculatedColumnFormula>
    </tableColumn>
    <tableColumn id="36" xr3:uid="{00000000-0010-0000-0400-000024000000}" name="N A P" dataDxfId="0">
      <calculatedColumnFormula>Tableau478[[#This Row],[EP TOTALE]]+Tableau478[[#This Row],[INTERETS]]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9"/>
  <sheetViews>
    <sheetView topLeftCell="A19" zoomScaleNormal="100" workbookViewId="0">
      <pane xSplit="1" topLeftCell="B1" activePane="topRight" state="frozen"/>
      <selection pane="topRight" activeCell="AL37" sqref="AL37"/>
    </sheetView>
  </sheetViews>
  <sheetFormatPr baseColWidth="10" defaultRowHeight="15"/>
  <cols>
    <col min="1" max="1" width="22.5703125" style="5" customWidth="1"/>
    <col min="2" max="2" width="14.42578125" style="5" customWidth="1"/>
    <col min="3" max="3" width="13.85546875" style="5" customWidth="1"/>
    <col min="4" max="13" width="14.28515625" style="5" bestFit="1" customWidth="1"/>
    <col min="14" max="15" width="15.28515625" style="5" bestFit="1" customWidth="1"/>
    <col min="16" max="16" width="12.85546875" style="5" bestFit="1" customWidth="1"/>
    <col min="17" max="18" width="15.28515625" style="5" bestFit="1" customWidth="1"/>
    <col min="19" max="19" width="12.85546875" style="5" bestFit="1" customWidth="1"/>
    <col min="20" max="21" width="15.28515625" style="5" bestFit="1" customWidth="1"/>
    <col min="22" max="22" width="14.28515625" style="5" bestFit="1" customWidth="1"/>
    <col min="23" max="24" width="15.28515625" style="5" bestFit="1" customWidth="1"/>
    <col min="25" max="25" width="12" style="5" customWidth="1"/>
    <col min="26" max="27" width="15.28515625" style="5" bestFit="1" customWidth="1"/>
    <col min="28" max="28" width="12.85546875" style="5" bestFit="1" customWidth="1"/>
    <col min="29" max="30" width="15.28515625" style="5" bestFit="1" customWidth="1"/>
    <col min="31" max="31" width="12.85546875" style="5" bestFit="1" customWidth="1"/>
    <col min="32" max="33" width="15.28515625" style="5" bestFit="1" customWidth="1"/>
    <col min="34" max="34" width="11.5703125" style="5" bestFit="1" customWidth="1"/>
    <col min="35" max="35" width="15.28515625" style="5" bestFit="1" customWidth="1"/>
    <col min="36" max="36" width="14.42578125" style="5" customWidth="1"/>
    <col min="37" max="37" width="17.28515625" style="5" customWidth="1"/>
    <col min="38" max="38" width="12.85546875" style="5" customWidth="1"/>
    <col min="39" max="39" width="15.28515625" style="5" bestFit="1" customWidth="1"/>
    <col min="40" max="40" width="18.28515625" style="5" customWidth="1"/>
    <col min="41" max="16384" width="11.42578125" style="5"/>
  </cols>
  <sheetData>
    <row r="1" spans="1:40">
      <c r="A1" s="4" t="s">
        <v>0</v>
      </c>
      <c r="B1" s="28" t="s">
        <v>17</v>
      </c>
      <c r="C1" s="4" t="s">
        <v>87</v>
      </c>
      <c r="D1" s="28" t="s">
        <v>19</v>
      </c>
      <c r="E1" s="4" t="s">
        <v>3</v>
      </c>
      <c r="F1" s="4" t="s">
        <v>203</v>
      </c>
      <c r="G1" s="28" t="s">
        <v>88</v>
      </c>
      <c r="H1" s="4" t="s">
        <v>5</v>
      </c>
      <c r="I1" s="4" t="s">
        <v>68</v>
      </c>
      <c r="J1" s="28" t="s">
        <v>1</v>
      </c>
      <c r="K1" s="4" t="s">
        <v>7</v>
      </c>
      <c r="L1" s="4" t="s">
        <v>69</v>
      </c>
      <c r="M1" s="28" t="s">
        <v>2</v>
      </c>
      <c r="N1" s="4" t="s">
        <v>9</v>
      </c>
      <c r="O1" s="4" t="s">
        <v>10</v>
      </c>
      <c r="P1" s="28" t="s">
        <v>4</v>
      </c>
      <c r="Q1" s="4" t="s">
        <v>11</v>
      </c>
      <c r="R1" s="4" t="s">
        <v>70</v>
      </c>
      <c r="S1" s="28" t="s">
        <v>6</v>
      </c>
      <c r="T1" s="4" t="s">
        <v>14</v>
      </c>
      <c r="U1" s="4" t="s">
        <v>71</v>
      </c>
      <c r="V1" s="28" t="s">
        <v>8</v>
      </c>
      <c r="W1" s="4" t="s">
        <v>15</v>
      </c>
      <c r="X1" s="4" t="s">
        <v>72</v>
      </c>
      <c r="Y1" s="28" t="s">
        <v>89</v>
      </c>
      <c r="Z1" s="4" t="s">
        <v>16</v>
      </c>
      <c r="AA1" s="4" t="s">
        <v>73</v>
      </c>
      <c r="AB1" s="28" t="s">
        <v>12</v>
      </c>
      <c r="AC1" s="4" t="s">
        <v>18</v>
      </c>
      <c r="AD1" s="4" t="s">
        <v>74</v>
      </c>
      <c r="AE1" s="28" t="s">
        <v>13</v>
      </c>
      <c r="AF1" s="4" t="s">
        <v>20</v>
      </c>
      <c r="AG1" s="4" t="s">
        <v>75</v>
      </c>
      <c r="AH1" s="28" t="s">
        <v>90</v>
      </c>
      <c r="AI1" s="4" t="s">
        <v>204</v>
      </c>
      <c r="AJ1" s="4" t="s">
        <v>84</v>
      </c>
      <c r="AK1" s="34" t="s">
        <v>21</v>
      </c>
      <c r="AL1" s="4" t="s">
        <v>22</v>
      </c>
      <c r="AM1" s="4" t="s">
        <v>23</v>
      </c>
      <c r="AN1" s="4" t="s">
        <v>206</v>
      </c>
    </row>
    <row r="2" spans="1:40">
      <c r="A2" s="5" t="s">
        <v>167</v>
      </c>
      <c r="B2" s="42">
        <v>94000</v>
      </c>
      <c r="C2" s="42">
        <f t="shared" ref="C2:C37" si="0">B2*(1+38000/4317300)</f>
        <v>94827.368957450264</v>
      </c>
      <c r="D2" s="42"/>
      <c r="E2" s="5">
        <f t="shared" ref="E2:E37" si="1">+D2+C2</f>
        <v>94827.368957450264</v>
      </c>
      <c r="F2" s="5">
        <f t="shared" ref="F2:F37" si="2">E2*(1+57680/5852300)</f>
        <v>95761.983150411281</v>
      </c>
      <c r="G2" s="42"/>
      <c r="H2" s="5">
        <f t="shared" ref="H2:H37" si="3">+F2+G2</f>
        <v>95761.983150411281</v>
      </c>
      <c r="I2" s="5">
        <f t="shared" ref="I2:I37" si="4">H2*(1+168480/7089080)</f>
        <v>98037.874933432686</v>
      </c>
      <c r="J2" s="42"/>
      <c r="K2" s="5">
        <f t="shared" ref="K2:K37" si="5">+I2+J2</f>
        <v>98037.874933432686</v>
      </c>
      <c r="L2" s="5">
        <f t="shared" ref="L2:L37" si="6">K2*(1+188880/9211560)</f>
        <v>100048.10922788735</v>
      </c>
      <c r="M2" s="42"/>
      <c r="N2" s="5">
        <f t="shared" ref="N2:N37" si="7">+L2+M2</f>
        <v>100048.10922788735</v>
      </c>
      <c r="O2" s="5">
        <f t="shared" ref="O2:O37" si="8">N2*(1+229880/10807440)</f>
        <v>102176.18575195843</v>
      </c>
      <c r="P2" s="42"/>
      <c r="Q2" s="5">
        <f t="shared" ref="Q2:Q37" si="9">+O2+P2</f>
        <v>102176.18575195843</v>
      </c>
      <c r="R2" s="5">
        <f t="shared" ref="R2:R37" si="10">Q2*(1+258720/12010320)</f>
        <v>104377.2114346835</v>
      </c>
      <c r="S2" s="42"/>
      <c r="T2" s="5">
        <f t="shared" ref="T2:T37" si="11">+R2+S2</f>
        <v>104377.2114346835</v>
      </c>
      <c r="U2" s="5">
        <f t="shared" ref="U2:U37" si="12">T2*(1+276600/13176040)</f>
        <v>106568.36573315508</v>
      </c>
      <c r="V2" s="42"/>
      <c r="W2" s="5">
        <f t="shared" ref="W2:W37" si="13">+U2+V2</f>
        <v>106568.36573315508</v>
      </c>
      <c r="X2" s="5">
        <f t="shared" ref="X2:X37" si="14">W2*(1+281720/15349640)</f>
        <v>108524.27088756549</v>
      </c>
      <c r="Y2" s="42"/>
      <c r="Z2" s="5">
        <f t="shared" ref="Z2:Z37" si="15">+X2+Y2</f>
        <v>108524.27088756549</v>
      </c>
      <c r="AA2" s="5">
        <f t="shared" ref="AA2:AA37" si="16">Z2*(1+313600/16586360)</f>
        <v>110576.15034456151</v>
      </c>
      <c r="AC2" s="5">
        <f t="shared" ref="AC2:AC37" si="17">+AA2+AB2</f>
        <v>110576.15034456151</v>
      </c>
      <c r="AD2" s="5">
        <f t="shared" ref="AD2:AD37" si="18">AC2*(1+321600/17662960)</f>
        <v>112589.47596783254</v>
      </c>
      <c r="AF2" s="5">
        <f t="shared" ref="AF2:AF37" si="19">+AD2+AE2</f>
        <v>112589.47596783254</v>
      </c>
      <c r="AG2" s="5">
        <f t="shared" ref="AG2:AG37" si="20">AF2*(1+333320/18946560)</f>
        <v>114570.22203094889</v>
      </c>
      <c r="AI2" s="5">
        <f t="shared" ref="AI2:AI37" si="21">+AG2+AH2</f>
        <v>114570.22203094889</v>
      </c>
      <c r="AJ2" s="42">
        <f t="shared" ref="AJ2:AJ37" si="22">AI2*(1+1/19279881)</f>
        <v>114570.22797342447</v>
      </c>
      <c r="AK2" s="41">
        <f>B2+D2+G2+J2+M2+P2+S2+V2+Y2+AB2+AE2+AH2</f>
        <v>94000</v>
      </c>
      <c r="AL2" s="14">
        <f t="shared" ref="AL2:AL37" si="23">-AK2+AJ2</f>
        <v>20570.227973424466</v>
      </c>
      <c r="AM2" s="15">
        <f>Tableau4[[#This Row],[EP TOTALE]]+Tableau4[[#This Row],[INTERETS]]</f>
        <v>114570.22797342447</v>
      </c>
      <c r="AN2" s="42">
        <f>Tableau4[[#This Row],[EP TOTALE]]*AK$40</f>
        <v>0</v>
      </c>
    </row>
    <row r="3" spans="1:40">
      <c r="A3" s="5" t="s">
        <v>168</v>
      </c>
      <c r="B3" s="42">
        <v>129000</v>
      </c>
      <c r="C3" s="42">
        <f t="shared" si="0"/>
        <v>130135.4318671392</v>
      </c>
      <c r="D3" s="42"/>
      <c r="E3" s="5">
        <f t="shared" si="1"/>
        <v>130135.4318671392</v>
      </c>
      <c r="F3" s="5">
        <f t="shared" si="2"/>
        <v>131418.04070641549</v>
      </c>
      <c r="G3" s="42">
        <v>100000</v>
      </c>
      <c r="H3" s="5">
        <f t="shared" si="3"/>
        <v>231418.04070641549</v>
      </c>
      <c r="I3" s="5">
        <f t="shared" si="4"/>
        <v>236917.95204867952</v>
      </c>
      <c r="J3" s="42">
        <v>100000</v>
      </c>
      <c r="K3" s="5">
        <f t="shared" si="5"/>
        <v>336917.95204867952</v>
      </c>
      <c r="L3" s="5">
        <f t="shared" si="6"/>
        <v>343826.34354620602</v>
      </c>
      <c r="M3" s="42"/>
      <c r="N3" s="5">
        <f t="shared" si="7"/>
        <v>343826.34354620602</v>
      </c>
      <c r="O3" s="5">
        <f t="shared" si="8"/>
        <v>351139.71284128434</v>
      </c>
      <c r="P3" s="42"/>
      <c r="Q3" s="5">
        <f t="shared" si="9"/>
        <v>351139.71284128434</v>
      </c>
      <c r="R3" s="5">
        <f t="shared" si="10"/>
        <v>358703.77995242679</v>
      </c>
      <c r="S3" s="42"/>
      <c r="T3" s="5">
        <f t="shared" si="11"/>
        <v>358703.77995242679</v>
      </c>
      <c r="U3" s="5">
        <f t="shared" si="12"/>
        <v>366233.92296465515</v>
      </c>
      <c r="V3" s="42"/>
      <c r="W3" s="5">
        <f t="shared" si="13"/>
        <v>366233.92296465515</v>
      </c>
      <c r="X3" s="5">
        <f t="shared" si="14"/>
        <v>372955.60639029916</v>
      </c>
      <c r="Y3" s="42"/>
      <c r="Z3" s="5">
        <f t="shared" si="15"/>
        <v>372955.60639029916</v>
      </c>
      <c r="AA3" s="5">
        <f t="shared" si="16"/>
        <v>380007.11607440084</v>
      </c>
      <c r="AC3" s="5">
        <f t="shared" si="17"/>
        <v>380007.11607440084</v>
      </c>
      <c r="AD3" s="5">
        <f t="shared" si="18"/>
        <v>386926.13126378745</v>
      </c>
      <c r="AF3" s="5">
        <f t="shared" si="19"/>
        <v>386926.13126378745</v>
      </c>
      <c r="AG3" s="5">
        <f t="shared" si="20"/>
        <v>393733.18320740387</v>
      </c>
      <c r="AI3" s="5">
        <f t="shared" si="21"/>
        <v>393733.18320740387</v>
      </c>
      <c r="AJ3" s="42">
        <f t="shared" si="22"/>
        <v>393733.20362937549</v>
      </c>
      <c r="AK3" s="41">
        <f t="shared" ref="AK3:AK36" si="24">B3+D3+G3+J3+M3+P3+S3+V3+Y3+AB3+AE3+AH3</f>
        <v>329000</v>
      </c>
      <c r="AL3" s="14">
        <f t="shared" si="23"/>
        <v>64733.203629375494</v>
      </c>
      <c r="AM3" s="15">
        <f>Tableau4[[#This Row],[EP TOTALE]]+Tableau4[[#This Row],[INTERETS]]</f>
        <v>393733.20362937549</v>
      </c>
      <c r="AN3" s="42">
        <f>Tableau4[[#This Row],[EP TOTALE]]*AK$40</f>
        <v>0</v>
      </c>
    </row>
    <row r="4" spans="1:40">
      <c r="A4" s="5" t="s">
        <v>169</v>
      </c>
      <c r="B4" s="42">
        <v>107000</v>
      </c>
      <c r="C4" s="42">
        <f t="shared" si="0"/>
        <v>107941.79232390615</v>
      </c>
      <c r="D4" s="42">
        <v>56000</v>
      </c>
      <c r="E4" s="5">
        <f t="shared" si="1"/>
        <v>163941.79232390615</v>
      </c>
      <c r="F4" s="5">
        <f t="shared" si="2"/>
        <v>165557.5950990959</v>
      </c>
      <c r="G4" s="42">
        <v>7000</v>
      </c>
      <c r="H4" s="5">
        <f t="shared" si="3"/>
        <v>172557.5950990959</v>
      </c>
      <c r="I4" s="5">
        <f t="shared" si="4"/>
        <v>176658.6214131304</v>
      </c>
      <c r="J4" s="42">
        <v>7000</v>
      </c>
      <c r="K4" s="5">
        <f t="shared" si="5"/>
        <v>183658.6214131304</v>
      </c>
      <c r="L4" s="5">
        <f t="shared" si="6"/>
        <v>187424.48087803237</v>
      </c>
      <c r="M4" s="42">
        <v>7000</v>
      </c>
      <c r="N4" s="5">
        <f t="shared" si="7"/>
        <v>194424.48087803237</v>
      </c>
      <c r="O4" s="5">
        <f t="shared" si="8"/>
        <v>198559.99304966987</v>
      </c>
      <c r="P4" s="42">
        <v>7000</v>
      </c>
      <c r="Q4" s="5">
        <f t="shared" si="9"/>
        <v>205559.99304966987</v>
      </c>
      <c r="R4" s="5">
        <f t="shared" si="10"/>
        <v>209988.05836365069</v>
      </c>
      <c r="S4" s="42">
        <v>7000</v>
      </c>
      <c r="T4" s="5">
        <f t="shared" si="11"/>
        <v>216988.05836365069</v>
      </c>
      <c r="U4" s="5">
        <f t="shared" si="12"/>
        <v>221543.21279118626</v>
      </c>
      <c r="V4" s="42">
        <v>7000</v>
      </c>
      <c r="W4" s="5">
        <f t="shared" si="13"/>
        <v>228543.21279118626</v>
      </c>
      <c r="X4" s="5">
        <f t="shared" si="14"/>
        <v>232737.78633867876</v>
      </c>
      <c r="Y4" s="42"/>
      <c r="Z4" s="5">
        <f t="shared" si="15"/>
        <v>232737.78633867876</v>
      </c>
      <c r="AA4" s="5">
        <f t="shared" si="16"/>
        <v>237138.18339962579</v>
      </c>
      <c r="AC4" s="5">
        <f t="shared" si="17"/>
        <v>237138.18339962579</v>
      </c>
      <c r="AD4" s="5">
        <f t="shared" si="18"/>
        <v>241455.89910420307</v>
      </c>
      <c r="AE4" s="5">
        <v>8000</v>
      </c>
      <c r="AF4" s="5">
        <f t="shared" si="19"/>
        <v>249455.89910420307</v>
      </c>
      <c r="AG4" s="5">
        <f t="shared" si="20"/>
        <v>253844.48681033085</v>
      </c>
      <c r="AI4" s="5">
        <f t="shared" si="21"/>
        <v>253844.48681033085</v>
      </c>
      <c r="AJ4" s="42">
        <f t="shared" si="22"/>
        <v>253844.49997661993</v>
      </c>
      <c r="AK4" s="41">
        <f t="shared" si="24"/>
        <v>213000</v>
      </c>
      <c r="AL4" s="14">
        <f t="shared" si="23"/>
        <v>40844.499976619933</v>
      </c>
      <c r="AM4" s="15">
        <f>Tableau4[[#This Row],[EP TOTALE]]+Tableau4[[#This Row],[INTERETS]]</f>
        <v>253844.49997661993</v>
      </c>
      <c r="AN4" s="42">
        <f>Tableau4[[#This Row],[EP TOTALE]]*AK$40</f>
        <v>0</v>
      </c>
    </row>
    <row r="5" spans="1:40">
      <c r="A5" s="5" t="s">
        <v>170</v>
      </c>
      <c r="B5" s="42">
        <v>94000</v>
      </c>
      <c r="C5" s="42">
        <f t="shared" si="0"/>
        <v>94827.368957450264</v>
      </c>
      <c r="D5" s="42"/>
      <c r="E5" s="5">
        <f>+D5+C5</f>
        <v>94827.368957450264</v>
      </c>
      <c r="F5" s="5">
        <f t="shared" si="2"/>
        <v>95761.983150411281</v>
      </c>
      <c r="G5" s="42"/>
      <c r="H5" s="5">
        <f t="shared" si="3"/>
        <v>95761.983150411281</v>
      </c>
      <c r="I5" s="5">
        <f t="shared" si="4"/>
        <v>98037.874933432686</v>
      </c>
      <c r="J5" s="42"/>
      <c r="K5" s="5">
        <f t="shared" si="5"/>
        <v>98037.874933432686</v>
      </c>
      <c r="L5" s="5">
        <f t="shared" si="6"/>
        <v>100048.10922788735</v>
      </c>
      <c r="M5" s="42"/>
      <c r="N5" s="5">
        <f t="shared" si="7"/>
        <v>100048.10922788735</v>
      </c>
      <c r="O5" s="5">
        <f t="shared" si="8"/>
        <v>102176.18575195843</v>
      </c>
      <c r="P5" s="42"/>
      <c r="Q5" s="5">
        <f t="shared" si="9"/>
        <v>102176.18575195843</v>
      </c>
      <c r="R5" s="5">
        <f t="shared" si="10"/>
        <v>104377.2114346835</v>
      </c>
      <c r="S5" s="42"/>
      <c r="T5" s="5">
        <f t="shared" si="11"/>
        <v>104377.2114346835</v>
      </c>
      <c r="U5" s="5">
        <f t="shared" si="12"/>
        <v>106568.36573315508</v>
      </c>
      <c r="V5" s="42"/>
      <c r="W5" s="5">
        <f t="shared" si="13"/>
        <v>106568.36573315508</v>
      </c>
      <c r="X5" s="5">
        <f t="shared" si="14"/>
        <v>108524.27088756549</v>
      </c>
      <c r="Y5" s="42"/>
      <c r="Z5" s="5">
        <f t="shared" si="15"/>
        <v>108524.27088756549</v>
      </c>
      <c r="AA5" s="5">
        <f t="shared" si="16"/>
        <v>110576.15034456151</v>
      </c>
      <c r="AC5" s="5">
        <f t="shared" si="17"/>
        <v>110576.15034456151</v>
      </c>
      <c r="AD5" s="5">
        <f t="shared" si="18"/>
        <v>112589.47596783254</v>
      </c>
      <c r="AE5" s="5">
        <v>8000</v>
      </c>
      <c r="AF5" s="5">
        <f t="shared" si="19"/>
        <v>120589.47596783254</v>
      </c>
      <c r="AG5" s="5">
        <f t="shared" si="20"/>
        <v>122710.96314701428</v>
      </c>
      <c r="AI5" s="5">
        <f t="shared" si="21"/>
        <v>122710.96314701428</v>
      </c>
      <c r="AJ5" s="42">
        <f t="shared" si="22"/>
        <v>122710.96951173007</v>
      </c>
      <c r="AK5" s="41">
        <f t="shared" si="24"/>
        <v>102000</v>
      </c>
      <c r="AL5" s="14">
        <f t="shared" si="23"/>
        <v>20710.969511730073</v>
      </c>
      <c r="AM5" s="15">
        <f>Tableau4[[#This Row],[EP TOTALE]]+Tableau4[[#This Row],[INTERETS]]</f>
        <v>122710.96951173007</v>
      </c>
      <c r="AN5" s="42">
        <f>Tableau4[[#This Row],[EP TOTALE]]*AK$40</f>
        <v>0</v>
      </c>
    </row>
    <row r="6" spans="1:40">
      <c r="A6" s="5" t="s">
        <v>171</v>
      </c>
      <c r="B6" s="42">
        <v>100000</v>
      </c>
      <c r="C6" s="42">
        <f t="shared" si="0"/>
        <v>100880.17974196837</v>
      </c>
      <c r="D6" s="42"/>
      <c r="E6" s="5">
        <f t="shared" si="1"/>
        <v>100880.17974196837</v>
      </c>
      <c r="F6" s="5">
        <f t="shared" si="2"/>
        <v>101874.45016001201</v>
      </c>
      <c r="G6" s="42"/>
      <c r="H6" s="5">
        <f t="shared" si="3"/>
        <v>101874.45016001201</v>
      </c>
      <c r="I6" s="5">
        <f t="shared" si="4"/>
        <v>104295.61163131137</v>
      </c>
      <c r="J6" s="42"/>
      <c r="K6" s="5">
        <f t="shared" si="5"/>
        <v>104295.61163131137</v>
      </c>
      <c r="L6" s="5">
        <f t="shared" si="6"/>
        <v>106434.15875307166</v>
      </c>
      <c r="M6" s="42"/>
      <c r="N6" s="5">
        <f t="shared" si="7"/>
        <v>106434.15875307166</v>
      </c>
      <c r="O6" s="5">
        <f t="shared" si="8"/>
        <v>108698.06994889195</v>
      </c>
      <c r="P6" s="42"/>
      <c r="Q6" s="5">
        <f t="shared" si="9"/>
        <v>108698.06994889195</v>
      </c>
      <c r="R6" s="5">
        <f t="shared" si="10"/>
        <v>111039.58663264202</v>
      </c>
      <c r="S6" s="42"/>
      <c r="T6" s="5">
        <f t="shared" si="11"/>
        <v>111039.58663264202</v>
      </c>
      <c r="U6" s="5">
        <f t="shared" si="12"/>
        <v>113370.601843782</v>
      </c>
      <c r="V6" s="42"/>
      <c r="W6" s="5">
        <f t="shared" si="13"/>
        <v>113370.601843782</v>
      </c>
      <c r="X6" s="5">
        <f t="shared" si="14"/>
        <v>115451.3520080484</v>
      </c>
      <c r="Y6" s="42"/>
      <c r="Z6" s="5">
        <f t="shared" si="15"/>
        <v>115451.3520080484</v>
      </c>
      <c r="AA6" s="5">
        <f t="shared" si="16"/>
        <v>117634.20249421438</v>
      </c>
      <c r="AC6" s="5">
        <f t="shared" si="17"/>
        <v>117634.20249421438</v>
      </c>
      <c r="AD6" s="5">
        <f t="shared" si="18"/>
        <v>119776.03826365164</v>
      </c>
      <c r="AF6" s="5">
        <f t="shared" si="19"/>
        <v>119776.03826365164</v>
      </c>
      <c r="AG6" s="5">
        <f t="shared" si="20"/>
        <v>121883.21492654138</v>
      </c>
      <c r="AI6" s="5">
        <f t="shared" si="21"/>
        <v>121883.21492654138</v>
      </c>
      <c r="AJ6" s="42">
        <f t="shared" si="22"/>
        <v>121883.22124832391</v>
      </c>
      <c r="AK6" s="41">
        <f t="shared" si="24"/>
        <v>100000</v>
      </c>
      <c r="AL6" s="14">
        <f t="shared" si="23"/>
        <v>21883.221248323913</v>
      </c>
      <c r="AM6" s="15">
        <f>Tableau4[[#This Row],[EP TOTALE]]+Tableau4[[#This Row],[INTERETS]]</f>
        <v>121883.22124832391</v>
      </c>
      <c r="AN6" s="42">
        <f>Tableau4[[#This Row],[EP TOTALE]]*AK$40</f>
        <v>0</v>
      </c>
    </row>
    <row r="7" spans="1:40">
      <c r="A7" s="5" t="s">
        <v>172</v>
      </c>
      <c r="B7" s="42">
        <v>160000</v>
      </c>
      <c r="C7" s="42">
        <f t="shared" si="0"/>
        <v>161408.28758714939</v>
      </c>
      <c r="D7" s="42"/>
      <c r="E7" s="5">
        <f t="shared" si="1"/>
        <v>161408.28758714939</v>
      </c>
      <c r="F7" s="5">
        <f t="shared" si="2"/>
        <v>162999.1202560192</v>
      </c>
      <c r="G7" s="42"/>
      <c r="H7" s="5">
        <f t="shared" si="3"/>
        <v>162999.1202560192</v>
      </c>
      <c r="I7" s="5">
        <f t="shared" si="4"/>
        <v>166872.97861009819</v>
      </c>
      <c r="J7" s="42">
        <v>40000</v>
      </c>
      <c r="K7" s="5">
        <f t="shared" si="5"/>
        <v>206872.97861009819</v>
      </c>
      <c r="L7" s="5">
        <f t="shared" si="6"/>
        <v>211114.84081366364</v>
      </c>
      <c r="M7" s="42"/>
      <c r="N7" s="5">
        <f t="shared" si="7"/>
        <v>211114.84081366364</v>
      </c>
      <c r="O7" s="5">
        <f t="shared" si="8"/>
        <v>215605.36582293917</v>
      </c>
      <c r="P7" s="42">
        <v>10000</v>
      </c>
      <c r="Q7" s="5">
        <f t="shared" si="9"/>
        <v>225605.36582293917</v>
      </c>
      <c r="R7" s="5">
        <f t="shared" si="10"/>
        <v>230465.23801999225</v>
      </c>
      <c r="S7" s="42">
        <v>50000</v>
      </c>
      <c r="T7" s="5">
        <f t="shared" si="11"/>
        <v>280465.23801999225</v>
      </c>
      <c r="U7" s="5">
        <f t="shared" si="12"/>
        <v>286352.94668180036</v>
      </c>
      <c r="V7" s="42">
        <v>35000</v>
      </c>
      <c r="W7" s="5">
        <f t="shared" si="13"/>
        <v>321352.94668180036</v>
      </c>
      <c r="X7" s="5">
        <f t="shared" si="14"/>
        <v>327250.90599154291</v>
      </c>
      <c r="Y7" s="42"/>
      <c r="Z7" s="5">
        <f t="shared" si="15"/>
        <v>327250.90599154291</v>
      </c>
      <c r="AA7" s="5">
        <f t="shared" si="16"/>
        <v>333438.27224423172</v>
      </c>
      <c r="AB7" s="5">
        <v>50000</v>
      </c>
      <c r="AC7" s="5">
        <f t="shared" si="17"/>
        <v>383438.27224423172</v>
      </c>
      <c r="AD7" s="5">
        <f t="shared" si="18"/>
        <v>390419.76053123147</v>
      </c>
      <c r="AF7" s="5">
        <f t="shared" si="19"/>
        <v>390419.76053123147</v>
      </c>
      <c r="AG7" s="5">
        <f t="shared" si="20"/>
        <v>397288.27463512524</v>
      </c>
      <c r="AI7" s="5">
        <f t="shared" si="21"/>
        <v>397288.27463512524</v>
      </c>
      <c r="AJ7" s="42">
        <f t="shared" si="22"/>
        <v>397288.29524149076</v>
      </c>
      <c r="AK7" s="41">
        <f t="shared" si="24"/>
        <v>345000</v>
      </c>
      <c r="AL7" s="14">
        <f t="shared" si="23"/>
        <v>52288.295241490763</v>
      </c>
      <c r="AM7" s="15">
        <f>Tableau4[[#This Row],[EP TOTALE]]+Tableau4[[#This Row],[INTERETS]]</f>
        <v>397288.29524149076</v>
      </c>
      <c r="AN7" s="42">
        <f>Tableau4[[#This Row],[EP TOTALE]]*AK$40</f>
        <v>0</v>
      </c>
    </row>
    <row r="8" spans="1:40">
      <c r="A8" s="5" t="s">
        <v>173</v>
      </c>
      <c r="B8" s="42">
        <v>100000</v>
      </c>
      <c r="C8" s="42">
        <f t="shared" si="0"/>
        <v>100880.17974196837</v>
      </c>
      <c r="D8" s="42"/>
      <c r="E8" s="5">
        <f t="shared" si="1"/>
        <v>100880.17974196837</v>
      </c>
      <c r="F8" s="5">
        <f t="shared" si="2"/>
        <v>101874.45016001201</v>
      </c>
      <c r="G8" s="42">
        <v>176100</v>
      </c>
      <c r="H8" s="5">
        <f t="shared" si="3"/>
        <v>277974.450160012</v>
      </c>
      <c r="I8" s="5">
        <f t="shared" si="4"/>
        <v>284580.82720230229</v>
      </c>
      <c r="J8" s="42">
        <v>1250000</v>
      </c>
      <c r="K8" s="5">
        <f t="shared" si="5"/>
        <v>1534580.8272023024</v>
      </c>
      <c r="L8" s="5">
        <f t="shared" si="6"/>
        <v>1566046.9009880642</v>
      </c>
      <c r="M8" s="42">
        <v>50000</v>
      </c>
      <c r="N8" s="5">
        <f t="shared" si="7"/>
        <v>1616046.9009880642</v>
      </c>
      <c r="O8" s="5">
        <f t="shared" si="8"/>
        <v>1650421.0785545495</v>
      </c>
      <c r="P8" s="42">
        <v>130000</v>
      </c>
      <c r="Q8" s="5">
        <f t="shared" si="9"/>
        <v>1780421.0785545495</v>
      </c>
      <c r="R8" s="5">
        <f t="shared" si="10"/>
        <v>1818773.9735185164</v>
      </c>
      <c r="S8" s="42">
        <v>50000</v>
      </c>
      <c r="T8" s="5">
        <f t="shared" si="11"/>
        <v>1868773.9735185164</v>
      </c>
      <c r="U8" s="5">
        <f t="shared" si="12"/>
        <v>1908004.4920259907</v>
      </c>
      <c r="V8" s="42">
        <v>1250000</v>
      </c>
      <c r="W8" s="5">
        <f t="shared" si="13"/>
        <v>3158004.492025991</v>
      </c>
      <c r="X8" s="5">
        <f t="shared" si="14"/>
        <v>3215965.006115804</v>
      </c>
      <c r="Y8" s="42">
        <v>100000</v>
      </c>
      <c r="Z8" s="5">
        <f t="shared" si="15"/>
        <v>3315965.006115804</v>
      </c>
      <c r="AA8" s="5">
        <f t="shared" si="16"/>
        <v>3378660.2946491474</v>
      </c>
      <c r="AB8" s="5">
        <v>100000</v>
      </c>
      <c r="AC8" s="5">
        <f t="shared" si="17"/>
        <v>3478660.2946491474</v>
      </c>
      <c r="AD8" s="5">
        <f t="shared" si="18"/>
        <v>3541998.3280681879</v>
      </c>
      <c r="AE8" s="5">
        <v>150000</v>
      </c>
      <c r="AF8" s="5">
        <f t="shared" si="19"/>
        <v>3691998.3280681879</v>
      </c>
      <c r="AG8" s="5">
        <f t="shared" si="20"/>
        <v>3756950.3237186745</v>
      </c>
      <c r="AI8" s="5">
        <f t="shared" si="21"/>
        <v>3756950.3237186745</v>
      </c>
      <c r="AJ8" s="42">
        <f t="shared" si="22"/>
        <v>3756950.518582446</v>
      </c>
      <c r="AK8" s="41">
        <f t="shared" si="24"/>
        <v>3356100</v>
      </c>
      <c r="AL8" s="14">
        <f t="shared" si="23"/>
        <v>400850.51858244603</v>
      </c>
      <c r="AM8" s="15">
        <f>Tableau4[[#This Row],[EP TOTALE]]+Tableau4[[#This Row],[INTERETS]]</f>
        <v>3756950.518582446</v>
      </c>
      <c r="AN8" s="42">
        <f>Tableau4[[#This Row],[EP TOTALE]]*AK$40</f>
        <v>0</v>
      </c>
    </row>
    <row r="9" spans="1:40">
      <c r="A9" s="5" t="s">
        <v>174</v>
      </c>
      <c r="B9" s="42">
        <v>19000</v>
      </c>
      <c r="C9" s="42">
        <f t="shared" si="0"/>
        <v>19167.234150973989</v>
      </c>
      <c r="D9" s="42">
        <v>81000</v>
      </c>
      <c r="E9" s="5">
        <f t="shared" si="1"/>
        <v>100167.23415097399</v>
      </c>
      <c r="F9" s="5">
        <f t="shared" si="2"/>
        <v>101154.47781001886</v>
      </c>
      <c r="G9" s="42"/>
      <c r="H9" s="5">
        <f t="shared" si="3"/>
        <v>101154.47781001886</v>
      </c>
      <c r="I9" s="5">
        <f t="shared" si="4"/>
        <v>103558.52832453302</v>
      </c>
      <c r="J9" s="42"/>
      <c r="K9" s="5">
        <f t="shared" si="5"/>
        <v>103558.52832453302</v>
      </c>
      <c r="L9" s="5">
        <f t="shared" si="6"/>
        <v>105681.96179616409</v>
      </c>
      <c r="M9" s="42"/>
      <c r="N9" s="5">
        <f t="shared" si="7"/>
        <v>105681.96179616409</v>
      </c>
      <c r="O9" s="5">
        <f t="shared" si="8"/>
        <v>107929.8733624279</v>
      </c>
      <c r="P9" s="42"/>
      <c r="Q9" s="5">
        <f t="shared" si="9"/>
        <v>107929.8733624279</v>
      </c>
      <c r="R9" s="5">
        <f t="shared" si="10"/>
        <v>110254.84195912867</v>
      </c>
      <c r="S9" s="42"/>
      <c r="T9" s="5">
        <f t="shared" si="11"/>
        <v>110254.84195912867</v>
      </c>
      <c r="U9" s="5">
        <f t="shared" si="12"/>
        <v>112569.3832997663</v>
      </c>
      <c r="V9" s="42"/>
      <c r="W9" s="5">
        <f t="shared" si="13"/>
        <v>112569.3832997663</v>
      </c>
      <c r="X9" s="5">
        <f t="shared" si="14"/>
        <v>114635.42827953195</v>
      </c>
      <c r="Y9" s="42"/>
      <c r="Z9" s="5">
        <f t="shared" si="15"/>
        <v>114635.42827953195</v>
      </c>
      <c r="AA9" s="5">
        <f t="shared" si="16"/>
        <v>116802.85201255481</v>
      </c>
      <c r="AB9" s="5">
        <v>0</v>
      </c>
      <c r="AC9" s="5">
        <f t="shared" si="17"/>
        <v>116802.85201255481</v>
      </c>
      <c r="AD9" s="5">
        <f t="shared" si="18"/>
        <v>118929.55089016297</v>
      </c>
      <c r="AF9" s="5">
        <f t="shared" si="19"/>
        <v>118929.55089016297</v>
      </c>
      <c r="AG9" s="5">
        <f t="shared" si="20"/>
        <v>121021.83560584269</v>
      </c>
      <c r="AI9" s="5">
        <f t="shared" si="21"/>
        <v>121021.83560584269</v>
      </c>
      <c r="AJ9" s="42">
        <f t="shared" si="22"/>
        <v>121021.84188294758</v>
      </c>
      <c r="AK9" s="41">
        <f t="shared" si="24"/>
        <v>100000</v>
      </c>
      <c r="AL9" s="14">
        <f t="shared" si="23"/>
        <v>21021.841882947585</v>
      </c>
      <c r="AM9" s="15">
        <f>Tableau4[[#This Row],[EP TOTALE]]+Tableau4[[#This Row],[INTERETS]]</f>
        <v>121021.84188294758</v>
      </c>
      <c r="AN9" s="42">
        <f>Tableau4[[#This Row],[EP TOTALE]]*AK$40</f>
        <v>0</v>
      </c>
    </row>
    <row r="10" spans="1:40">
      <c r="A10" s="5" t="s">
        <v>175</v>
      </c>
      <c r="B10" s="42">
        <v>100000</v>
      </c>
      <c r="C10" s="42">
        <f t="shared" si="0"/>
        <v>100880.17974196837</v>
      </c>
      <c r="D10" s="42"/>
      <c r="E10" s="5">
        <f t="shared" si="1"/>
        <v>100880.17974196837</v>
      </c>
      <c r="F10" s="5">
        <f t="shared" si="2"/>
        <v>101874.45016001201</v>
      </c>
      <c r="G10" s="42"/>
      <c r="H10" s="5">
        <f t="shared" si="3"/>
        <v>101874.45016001201</v>
      </c>
      <c r="I10" s="5">
        <f t="shared" si="4"/>
        <v>104295.61163131137</v>
      </c>
      <c r="J10" s="42"/>
      <c r="K10" s="5">
        <f t="shared" si="5"/>
        <v>104295.61163131137</v>
      </c>
      <c r="L10" s="5">
        <f t="shared" si="6"/>
        <v>106434.15875307166</v>
      </c>
      <c r="M10" s="42"/>
      <c r="N10" s="5">
        <f t="shared" si="7"/>
        <v>106434.15875307166</v>
      </c>
      <c r="O10" s="5">
        <f t="shared" si="8"/>
        <v>108698.06994889195</v>
      </c>
      <c r="P10" s="42"/>
      <c r="Q10" s="5">
        <f t="shared" si="9"/>
        <v>108698.06994889195</v>
      </c>
      <c r="R10" s="5">
        <f t="shared" si="10"/>
        <v>111039.58663264202</v>
      </c>
      <c r="S10" s="42"/>
      <c r="T10" s="5">
        <f t="shared" si="11"/>
        <v>111039.58663264202</v>
      </c>
      <c r="U10" s="5">
        <f t="shared" si="12"/>
        <v>113370.601843782</v>
      </c>
      <c r="V10" s="42"/>
      <c r="W10" s="5">
        <f t="shared" si="13"/>
        <v>113370.601843782</v>
      </c>
      <c r="X10" s="5">
        <f t="shared" si="14"/>
        <v>115451.3520080484</v>
      </c>
      <c r="Y10" s="42"/>
      <c r="Z10" s="5">
        <f t="shared" si="15"/>
        <v>115451.3520080484</v>
      </c>
      <c r="AA10" s="5">
        <f t="shared" si="16"/>
        <v>117634.20249421438</v>
      </c>
      <c r="AC10" s="5">
        <f t="shared" si="17"/>
        <v>117634.20249421438</v>
      </c>
      <c r="AD10" s="5">
        <f t="shared" si="18"/>
        <v>119776.03826365164</v>
      </c>
      <c r="AF10" s="5">
        <f t="shared" si="19"/>
        <v>119776.03826365164</v>
      </c>
      <c r="AG10" s="5">
        <f t="shared" si="20"/>
        <v>121883.21492654138</v>
      </c>
      <c r="AI10" s="5">
        <f t="shared" si="21"/>
        <v>121883.21492654138</v>
      </c>
      <c r="AJ10" s="42">
        <f t="shared" si="22"/>
        <v>121883.22124832391</v>
      </c>
      <c r="AK10" s="41">
        <f t="shared" si="24"/>
        <v>100000</v>
      </c>
      <c r="AL10" s="14">
        <f t="shared" si="23"/>
        <v>21883.221248323913</v>
      </c>
      <c r="AM10" s="15">
        <f>Tableau4[[#This Row],[EP TOTALE]]+Tableau4[[#This Row],[INTERETS]]</f>
        <v>121883.22124832391</v>
      </c>
      <c r="AN10" s="42">
        <f>Tableau4[[#This Row],[EP TOTALE]]*AK$40</f>
        <v>0</v>
      </c>
    </row>
    <row r="11" spans="1:40">
      <c r="A11" s="5" t="s">
        <v>176</v>
      </c>
      <c r="B11" s="42">
        <v>94000</v>
      </c>
      <c r="C11" s="42">
        <f t="shared" si="0"/>
        <v>94827.368957450264</v>
      </c>
      <c r="D11" s="42"/>
      <c r="E11" s="5">
        <f t="shared" si="1"/>
        <v>94827.368957450264</v>
      </c>
      <c r="F11" s="5">
        <f t="shared" si="2"/>
        <v>95761.983150411281</v>
      </c>
      <c r="G11" s="42"/>
      <c r="H11" s="5">
        <f t="shared" si="3"/>
        <v>95761.983150411281</v>
      </c>
      <c r="I11" s="5">
        <f t="shared" si="4"/>
        <v>98037.874933432686</v>
      </c>
      <c r="J11" s="42"/>
      <c r="K11" s="5">
        <f t="shared" si="5"/>
        <v>98037.874933432686</v>
      </c>
      <c r="L11" s="5">
        <f t="shared" si="6"/>
        <v>100048.10922788735</v>
      </c>
      <c r="M11" s="42"/>
      <c r="N11" s="5">
        <f t="shared" si="7"/>
        <v>100048.10922788735</v>
      </c>
      <c r="O11" s="5">
        <f t="shared" si="8"/>
        <v>102176.18575195843</v>
      </c>
      <c r="P11" s="42"/>
      <c r="Q11" s="5">
        <f t="shared" si="9"/>
        <v>102176.18575195843</v>
      </c>
      <c r="R11" s="5">
        <f t="shared" si="10"/>
        <v>104377.2114346835</v>
      </c>
      <c r="S11" s="42"/>
      <c r="T11" s="5">
        <f t="shared" si="11"/>
        <v>104377.2114346835</v>
      </c>
      <c r="U11" s="5">
        <f t="shared" si="12"/>
        <v>106568.36573315508</v>
      </c>
      <c r="V11" s="42"/>
      <c r="W11" s="5">
        <f t="shared" si="13"/>
        <v>106568.36573315508</v>
      </c>
      <c r="X11" s="5">
        <f t="shared" si="14"/>
        <v>108524.27088756549</v>
      </c>
      <c r="Y11" s="42"/>
      <c r="Z11" s="5">
        <f t="shared" si="15"/>
        <v>108524.27088756549</v>
      </c>
      <c r="AA11" s="5">
        <f t="shared" si="16"/>
        <v>110576.15034456151</v>
      </c>
      <c r="AB11" s="5">
        <v>6000</v>
      </c>
      <c r="AC11" s="5">
        <f t="shared" si="17"/>
        <v>116576.15034456151</v>
      </c>
      <c r="AD11" s="5">
        <f t="shared" si="18"/>
        <v>118698.72153029771</v>
      </c>
      <c r="AF11" s="5">
        <f t="shared" si="19"/>
        <v>118698.72153029771</v>
      </c>
      <c r="AG11" s="5">
        <f t="shared" si="20"/>
        <v>120786.94534826143</v>
      </c>
      <c r="AI11" s="5">
        <f t="shared" si="21"/>
        <v>120786.94534826143</v>
      </c>
      <c r="AJ11" s="42">
        <f t="shared" si="22"/>
        <v>120786.95161318316</v>
      </c>
      <c r="AK11" s="41">
        <f t="shared" si="24"/>
        <v>100000</v>
      </c>
      <c r="AL11" s="14">
        <f t="shared" si="23"/>
        <v>20786.951613183162</v>
      </c>
      <c r="AM11" s="15">
        <f>Tableau4[[#This Row],[EP TOTALE]]+Tableau4[[#This Row],[INTERETS]]</f>
        <v>120786.95161318316</v>
      </c>
      <c r="AN11" s="42">
        <f>Tableau4[[#This Row],[EP TOTALE]]*AK$40</f>
        <v>0</v>
      </c>
    </row>
    <row r="12" spans="1:40">
      <c r="A12" s="5" t="s">
        <v>177</v>
      </c>
      <c r="B12" s="42">
        <v>200000</v>
      </c>
      <c r="C12" s="42">
        <f t="shared" si="0"/>
        <v>201760.35948393674</v>
      </c>
      <c r="D12" s="42">
        <v>100000</v>
      </c>
      <c r="E12" s="5">
        <f t="shared" si="1"/>
        <v>301760.35948393674</v>
      </c>
      <c r="F12" s="5">
        <f t="shared" si="2"/>
        <v>304734.49572695803</v>
      </c>
      <c r="G12" s="42">
        <v>200000</v>
      </c>
      <c r="H12" s="5">
        <f t="shared" si="3"/>
        <v>504734.49572695803</v>
      </c>
      <c r="I12" s="5">
        <f t="shared" si="4"/>
        <v>516730.08159142541</v>
      </c>
      <c r="J12" s="42">
        <v>200000</v>
      </c>
      <c r="K12" s="5">
        <f t="shared" si="5"/>
        <v>716730.08159142546</v>
      </c>
      <c r="L12" s="5">
        <f t="shared" si="6"/>
        <v>731426.39555029769</v>
      </c>
      <c r="M12" s="42">
        <v>100000</v>
      </c>
      <c r="N12" s="5">
        <f t="shared" si="7"/>
        <v>831426.39555029769</v>
      </c>
      <c r="O12" s="5">
        <f t="shared" si="8"/>
        <v>849111.27742880932</v>
      </c>
      <c r="P12" s="42">
        <v>100000</v>
      </c>
      <c r="Q12" s="5">
        <f t="shared" si="9"/>
        <v>949111.27742880932</v>
      </c>
      <c r="R12" s="5">
        <f t="shared" si="10"/>
        <v>969556.53364982433</v>
      </c>
      <c r="S12" s="42">
        <v>100000</v>
      </c>
      <c r="T12" s="5">
        <f t="shared" si="11"/>
        <v>1069556.5336498243</v>
      </c>
      <c r="U12" s="5">
        <f t="shared" si="12"/>
        <v>1092009.3599320413</v>
      </c>
      <c r="V12" s="42">
        <v>100000</v>
      </c>
      <c r="W12" s="5">
        <f t="shared" si="13"/>
        <v>1192009.3599320413</v>
      </c>
      <c r="X12" s="5">
        <f t="shared" si="14"/>
        <v>1213886.9334047777</v>
      </c>
      <c r="Y12" s="42">
        <v>100000</v>
      </c>
      <c r="Z12" s="5">
        <f t="shared" si="15"/>
        <v>1313886.9334047777</v>
      </c>
      <c r="AA12" s="5">
        <f t="shared" si="16"/>
        <v>1338728.7276450894</v>
      </c>
      <c r="AB12" s="5">
        <v>100000</v>
      </c>
      <c r="AC12" s="5">
        <f t="shared" si="17"/>
        <v>1438728.7276450894</v>
      </c>
      <c r="AD12" s="5">
        <f t="shared" si="18"/>
        <v>1464924.5158261566</v>
      </c>
      <c r="AE12" s="5">
        <v>100000</v>
      </c>
      <c r="AF12" s="5">
        <f t="shared" si="19"/>
        <v>1564924.5158261566</v>
      </c>
      <c r="AG12" s="5">
        <f t="shared" si="20"/>
        <v>1592455.6686905907</v>
      </c>
      <c r="AI12" s="5">
        <f t="shared" si="21"/>
        <v>1592455.6686905907</v>
      </c>
      <c r="AJ12" s="42">
        <f t="shared" si="22"/>
        <v>1592455.7512873488</v>
      </c>
      <c r="AK12" s="41">
        <f t="shared" si="24"/>
        <v>1400000</v>
      </c>
      <c r="AL12" s="14">
        <f t="shared" si="23"/>
        <v>192455.7512873488</v>
      </c>
      <c r="AM12" s="15">
        <f>Tableau4[[#This Row],[EP TOTALE]]+Tableau4[[#This Row],[INTERETS]]</f>
        <v>1592455.7512873488</v>
      </c>
      <c r="AN12" s="42">
        <f>Tableau4[[#This Row],[EP TOTALE]]*AK$40</f>
        <v>0</v>
      </c>
    </row>
    <row r="13" spans="1:40">
      <c r="A13" s="5" t="s">
        <v>198</v>
      </c>
      <c r="B13" s="42">
        <v>100000</v>
      </c>
      <c r="C13" s="42">
        <f t="shared" si="0"/>
        <v>100880.17974196837</v>
      </c>
      <c r="D13" s="42"/>
      <c r="E13" s="5">
        <f t="shared" ref="E13:E17" si="25">+D13+C13</f>
        <v>100880.17974196837</v>
      </c>
      <c r="F13" s="5">
        <f t="shared" si="2"/>
        <v>101874.45016001201</v>
      </c>
      <c r="G13" s="42"/>
      <c r="H13" s="5">
        <f t="shared" ref="H13:H17" si="26">+F13+G13</f>
        <v>101874.45016001201</v>
      </c>
      <c r="I13" s="5">
        <f t="shared" si="4"/>
        <v>104295.61163131137</v>
      </c>
      <c r="J13" s="42">
        <v>2000</v>
      </c>
      <c r="K13" s="5">
        <f t="shared" ref="K13:K17" si="27">+I13+J13</f>
        <v>106295.61163131137</v>
      </c>
      <c r="L13" s="5">
        <f t="shared" si="6"/>
        <v>108475.16809350911</v>
      </c>
      <c r="M13" s="42"/>
      <c r="N13" s="5">
        <f t="shared" ref="N13:N17" si="28">+L13+M13</f>
        <v>108475.16809350911</v>
      </c>
      <c r="O13" s="5">
        <f t="shared" si="8"/>
        <v>110782.49264412756</v>
      </c>
      <c r="P13" s="42"/>
      <c r="Q13" s="5">
        <f t="shared" ref="Q13:Q17" si="29">+O13+P13</f>
        <v>110782.49264412756</v>
      </c>
      <c r="R13" s="5">
        <f t="shared" si="10"/>
        <v>113168.91086586425</v>
      </c>
      <c r="S13" s="42"/>
      <c r="T13" s="5">
        <f t="shared" ref="T13:T17" si="30">+R13+S13</f>
        <v>113168.91086586425</v>
      </c>
      <c r="U13" s="5">
        <f t="shared" si="12"/>
        <v>115544.62623599808</v>
      </c>
      <c r="V13" s="42">
        <v>5000</v>
      </c>
      <c r="W13" s="5">
        <f t="shared" ref="W13:W17" si="31">+U13+V13</f>
        <v>120544.62623599808</v>
      </c>
      <c r="X13" s="5">
        <f t="shared" si="14"/>
        <v>122757.04503560545</v>
      </c>
      <c r="Y13" s="42"/>
      <c r="Z13" s="5">
        <f t="shared" ref="Z13:Z17" si="32">+X13+Y13</f>
        <v>122757.04503560545</v>
      </c>
      <c r="AA13" s="5">
        <f t="shared" si="16"/>
        <v>125078.02500487934</v>
      </c>
      <c r="AC13" s="5">
        <f t="shared" ref="AC13:AC17" si="33">+AA13+AB13</f>
        <v>125078.02500487934</v>
      </c>
      <c r="AD13" s="5">
        <f t="shared" si="18"/>
        <v>127355.3948704947</v>
      </c>
      <c r="AE13" s="5">
        <v>18000</v>
      </c>
      <c r="AF13" s="5">
        <f t="shared" ref="AF13:AF17" si="34">+AD13+AE13</f>
        <v>145355.3948704947</v>
      </c>
      <c r="AG13" s="5">
        <f t="shared" si="20"/>
        <v>147912.57993301968</v>
      </c>
      <c r="AI13" s="5">
        <f t="shared" ref="AI13:AI17" si="35">+AG13+AH13</f>
        <v>147912.57993301968</v>
      </c>
      <c r="AJ13" s="42">
        <f t="shared" si="22"/>
        <v>147912.58760488135</v>
      </c>
      <c r="AK13" s="41">
        <f t="shared" si="24"/>
        <v>125000</v>
      </c>
      <c r="AL13" s="14">
        <f t="shared" si="23"/>
        <v>22912.587604881352</v>
      </c>
      <c r="AM13" s="15">
        <f>Tableau4[[#This Row],[EP TOTALE]]+Tableau4[[#This Row],[INTERETS]]</f>
        <v>147912.58760488135</v>
      </c>
      <c r="AN13" s="42">
        <f>Tableau4[[#This Row],[EP TOTALE]]*AK$40</f>
        <v>0</v>
      </c>
    </row>
    <row r="14" spans="1:40">
      <c r="A14" s="5" t="s">
        <v>179</v>
      </c>
      <c r="B14" s="42">
        <v>94000</v>
      </c>
      <c r="C14" s="42">
        <f t="shared" si="0"/>
        <v>94827.368957450264</v>
      </c>
      <c r="D14" s="42"/>
      <c r="E14" s="5">
        <f t="shared" si="25"/>
        <v>94827.368957450264</v>
      </c>
      <c r="F14" s="5">
        <f t="shared" si="2"/>
        <v>95761.983150411281</v>
      </c>
      <c r="G14" s="42"/>
      <c r="H14" s="5">
        <f t="shared" si="26"/>
        <v>95761.983150411281</v>
      </c>
      <c r="I14" s="5">
        <f t="shared" si="4"/>
        <v>98037.874933432686</v>
      </c>
      <c r="J14" s="42">
        <v>38000</v>
      </c>
      <c r="K14" s="5">
        <f t="shared" si="27"/>
        <v>136037.87493343267</v>
      </c>
      <c r="L14" s="5">
        <f t="shared" si="6"/>
        <v>138827.28669619889</v>
      </c>
      <c r="M14" s="42"/>
      <c r="N14" s="5">
        <f t="shared" si="28"/>
        <v>138827.28669619889</v>
      </c>
      <c r="O14" s="5">
        <f t="shared" si="8"/>
        <v>141780.21696143487</v>
      </c>
      <c r="P14" s="42"/>
      <c r="Q14" s="5">
        <f t="shared" si="29"/>
        <v>141780.21696143487</v>
      </c>
      <c r="R14" s="5">
        <f t="shared" si="10"/>
        <v>144834.37186590553</v>
      </c>
      <c r="S14" s="42"/>
      <c r="T14" s="5">
        <f t="shared" si="30"/>
        <v>144834.37186590553</v>
      </c>
      <c r="U14" s="5">
        <f t="shared" si="12"/>
        <v>147874.82918526017</v>
      </c>
      <c r="V14" s="42"/>
      <c r="W14" s="5">
        <f t="shared" si="31"/>
        <v>147874.82918526017</v>
      </c>
      <c r="X14" s="5">
        <f t="shared" si="14"/>
        <v>150588.85354531495</v>
      </c>
      <c r="Y14" s="42"/>
      <c r="Z14" s="5">
        <f t="shared" si="32"/>
        <v>150588.85354531495</v>
      </c>
      <c r="AA14" s="5">
        <f t="shared" si="16"/>
        <v>153436.0523563748</v>
      </c>
      <c r="AC14" s="5">
        <f t="shared" si="33"/>
        <v>153436.0523563748</v>
      </c>
      <c r="AD14" s="5">
        <f t="shared" si="18"/>
        <v>156229.753663393</v>
      </c>
      <c r="AF14" s="5">
        <f t="shared" si="34"/>
        <v>156229.753663393</v>
      </c>
      <c r="AG14" s="5">
        <f t="shared" si="20"/>
        <v>158978.24740004397</v>
      </c>
      <c r="AI14" s="5">
        <f t="shared" si="35"/>
        <v>158978.24740004397</v>
      </c>
      <c r="AJ14" s="42">
        <f t="shared" si="22"/>
        <v>158978.25564585457</v>
      </c>
      <c r="AK14" s="41">
        <f t="shared" si="24"/>
        <v>132000</v>
      </c>
      <c r="AL14" s="14">
        <f t="shared" si="23"/>
        <v>26978.255645854573</v>
      </c>
      <c r="AM14" s="15">
        <f>Tableau4[[#This Row],[EP TOTALE]]+Tableau4[[#This Row],[INTERETS]]</f>
        <v>158978.25564585457</v>
      </c>
      <c r="AN14" s="42">
        <f>Tableau4[[#This Row],[EP TOTALE]]*AK$40</f>
        <v>0</v>
      </c>
    </row>
    <row r="15" spans="1:40">
      <c r="A15" s="5" t="s">
        <v>180</v>
      </c>
      <c r="B15" s="42">
        <v>0</v>
      </c>
      <c r="C15" s="42">
        <f t="shared" si="0"/>
        <v>0</v>
      </c>
      <c r="D15" s="42">
        <v>10000</v>
      </c>
      <c r="E15" s="5">
        <f t="shared" si="25"/>
        <v>10000</v>
      </c>
      <c r="F15" s="5">
        <f t="shared" si="2"/>
        <v>10098.559540693404</v>
      </c>
      <c r="G15" s="42">
        <v>20000</v>
      </c>
      <c r="H15" s="5">
        <f t="shared" si="26"/>
        <v>30098.559540693404</v>
      </c>
      <c r="I15" s="5">
        <f t="shared" si="4"/>
        <v>30813.885832880267</v>
      </c>
      <c r="J15" s="42">
        <v>50000</v>
      </c>
      <c r="K15" s="5">
        <f t="shared" si="27"/>
        <v>80813.885832880274</v>
      </c>
      <c r="L15" s="5">
        <f t="shared" si="6"/>
        <v>82470.947910977193</v>
      </c>
      <c r="M15" s="42">
        <v>100000</v>
      </c>
      <c r="N15" s="5">
        <f t="shared" si="28"/>
        <v>182470.94791097718</v>
      </c>
      <c r="O15" s="5">
        <f t="shared" si="8"/>
        <v>186352.20207530982</v>
      </c>
      <c r="P15" s="42"/>
      <c r="Q15" s="5">
        <f t="shared" si="29"/>
        <v>186352.20207530982</v>
      </c>
      <c r="R15" s="5">
        <f t="shared" si="10"/>
        <v>190366.50325304063</v>
      </c>
      <c r="S15" s="42"/>
      <c r="T15" s="5">
        <f t="shared" si="30"/>
        <v>190366.50325304063</v>
      </c>
      <c r="U15" s="5">
        <f t="shared" si="12"/>
        <v>194362.80068381582</v>
      </c>
      <c r="V15" s="42"/>
      <c r="W15" s="5">
        <f t="shared" si="31"/>
        <v>194362.80068381582</v>
      </c>
      <c r="X15" s="5">
        <f t="shared" si="14"/>
        <v>197930.04318648326</v>
      </c>
      <c r="Y15" s="42"/>
      <c r="Z15" s="5">
        <f t="shared" si="32"/>
        <v>197930.04318648326</v>
      </c>
      <c r="AA15" s="5">
        <f t="shared" si="16"/>
        <v>201672.32669795176</v>
      </c>
      <c r="AC15" s="5">
        <f t="shared" si="33"/>
        <v>201672.32669795176</v>
      </c>
      <c r="AD15" s="5">
        <f t="shared" si="18"/>
        <v>205344.29449191503</v>
      </c>
      <c r="AF15" s="5">
        <f t="shared" si="34"/>
        <v>205344.29449191503</v>
      </c>
      <c r="AG15" s="5">
        <f t="shared" si="20"/>
        <v>208956.8426399717</v>
      </c>
      <c r="AI15" s="5">
        <f t="shared" si="35"/>
        <v>208956.8426399717</v>
      </c>
      <c r="AJ15" s="42">
        <f t="shared" si="22"/>
        <v>208956.8534780491</v>
      </c>
      <c r="AK15" s="41">
        <f t="shared" si="24"/>
        <v>180000</v>
      </c>
      <c r="AL15" s="14">
        <f t="shared" si="23"/>
        <v>28956.853478049103</v>
      </c>
      <c r="AM15" s="15">
        <f>Tableau4[[#This Row],[EP TOTALE]]+Tableau4[[#This Row],[INTERETS]]</f>
        <v>208956.8534780491</v>
      </c>
      <c r="AN15" s="42">
        <f>Tableau4[[#This Row],[EP TOTALE]]*AK$40</f>
        <v>0</v>
      </c>
    </row>
    <row r="16" spans="1:40">
      <c r="A16" s="5" t="s">
        <v>181</v>
      </c>
      <c r="B16" s="42">
        <v>52000</v>
      </c>
      <c r="C16" s="42">
        <f t="shared" si="0"/>
        <v>52457.693465823548</v>
      </c>
      <c r="D16" s="42"/>
      <c r="E16" s="5">
        <f t="shared" si="25"/>
        <v>52457.693465823548</v>
      </c>
      <c r="F16" s="5">
        <f t="shared" si="2"/>
        <v>52974.714083206243</v>
      </c>
      <c r="G16" s="42">
        <v>20000</v>
      </c>
      <c r="H16" s="5">
        <f t="shared" si="26"/>
        <v>72974.714083206243</v>
      </c>
      <c r="I16" s="5">
        <f t="shared" si="4"/>
        <v>74709.040657139485</v>
      </c>
      <c r="J16" s="42">
        <v>10000</v>
      </c>
      <c r="K16" s="5">
        <f t="shared" si="27"/>
        <v>84709.040657139485</v>
      </c>
      <c r="L16" s="5">
        <f t="shared" si="6"/>
        <v>86445.971600358724</v>
      </c>
      <c r="M16" s="42"/>
      <c r="N16" s="5">
        <f t="shared" si="28"/>
        <v>86445.971600358724</v>
      </c>
      <c r="O16" s="5">
        <f t="shared" si="8"/>
        <v>88284.723418688533</v>
      </c>
      <c r="P16" s="42"/>
      <c r="Q16" s="5">
        <f t="shared" si="29"/>
        <v>88284.723418688533</v>
      </c>
      <c r="R16" s="5">
        <f t="shared" si="10"/>
        <v>90186.506522126496</v>
      </c>
      <c r="S16" s="42"/>
      <c r="T16" s="5">
        <f t="shared" si="30"/>
        <v>90186.506522126496</v>
      </c>
      <c r="U16" s="5">
        <f t="shared" si="12"/>
        <v>92079.760314921616</v>
      </c>
      <c r="V16" s="42"/>
      <c r="W16" s="5">
        <f t="shared" si="31"/>
        <v>92079.760314921616</v>
      </c>
      <c r="X16" s="5">
        <f t="shared" si="14"/>
        <v>93769.74848897128</v>
      </c>
      <c r="Y16" s="42"/>
      <c r="Z16" s="5">
        <f t="shared" si="32"/>
        <v>93769.74848897128</v>
      </c>
      <c r="AA16" s="5">
        <f t="shared" si="16"/>
        <v>95542.662686308206</v>
      </c>
      <c r="AB16" s="5">
        <v>7000</v>
      </c>
      <c r="AC16" s="5">
        <f t="shared" si="33"/>
        <v>102542.66268630821</v>
      </c>
      <c r="AD16" s="5">
        <f t="shared" si="18"/>
        <v>104409.71782994873</v>
      </c>
      <c r="AF16" s="5">
        <f t="shared" si="34"/>
        <v>104409.71782994873</v>
      </c>
      <c r="AG16" s="5">
        <f t="shared" si="20"/>
        <v>106246.56035688124</v>
      </c>
      <c r="AI16" s="5">
        <f t="shared" si="35"/>
        <v>106246.56035688124</v>
      </c>
      <c r="AJ16" s="42">
        <f t="shared" si="22"/>
        <v>106246.56586762896</v>
      </c>
      <c r="AK16" s="41">
        <f t="shared" si="24"/>
        <v>89000</v>
      </c>
      <c r="AL16" s="14">
        <f t="shared" si="23"/>
        <v>17246.56586762896</v>
      </c>
      <c r="AM16" s="15">
        <f>Tableau4[[#This Row],[EP TOTALE]]+Tableau4[[#This Row],[INTERETS]]</f>
        <v>106246.56586762896</v>
      </c>
      <c r="AN16" s="42">
        <f>Tableau4[[#This Row],[EP TOTALE]]*AK$40</f>
        <v>0</v>
      </c>
    </row>
    <row r="17" spans="1:40">
      <c r="A17" s="5" t="s">
        <v>182</v>
      </c>
      <c r="B17" s="42">
        <v>33000</v>
      </c>
      <c r="C17" s="42">
        <f t="shared" si="0"/>
        <v>33290.459314849562</v>
      </c>
      <c r="D17" s="42">
        <v>1000000</v>
      </c>
      <c r="E17" s="5">
        <f t="shared" si="25"/>
        <v>1033290.4593148496</v>
      </c>
      <c r="F17" s="5">
        <f t="shared" si="2"/>
        <v>1043474.5226221443</v>
      </c>
      <c r="G17" s="42">
        <v>500000</v>
      </c>
      <c r="H17" s="5">
        <f t="shared" si="26"/>
        <v>1543474.5226221443</v>
      </c>
      <c r="I17" s="5">
        <f t="shared" si="4"/>
        <v>1580156.9394620417</v>
      </c>
      <c r="J17" s="42"/>
      <c r="K17" s="5">
        <f t="shared" si="27"/>
        <v>1580156.9394620417</v>
      </c>
      <c r="L17" s="5">
        <f t="shared" si="6"/>
        <v>1612557.5363995412</v>
      </c>
      <c r="M17" s="42">
        <v>500000</v>
      </c>
      <c r="N17" s="5">
        <f t="shared" si="28"/>
        <v>2112557.5363995414</v>
      </c>
      <c r="O17" s="5">
        <f t="shared" si="8"/>
        <v>2157492.7594003188</v>
      </c>
      <c r="P17" s="42">
        <v>500000</v>
      </c>
      <c r="Q17" s="5">
        <f t="shared" si="29"/>
        <v>2657492.7594003188</v>
      </c>
      <c r="R17" s="5">
        <f t="shared" si="10"/>
        <v>2714739.071464614</v>
      </c>
      <c r="S17" s="42">
        <v>500000</v>
      </c>
      <c r="T17" s="5">
        <f t="shared" si="30"/>
        <v>3214739.071464614</v>
      </c>
      <c r="U17" s="5">
        <f t="shared" si="12"/>
        <v>3282224.9645832679</v>
      </c>
      <c r="V17" s="42">
        <v>500000</v>
      </c>
      <c r="W17" s="5">
        <f t="shared" si="31"/>
        <v>3782224.9645832679</v>
      </c>
      <c r="X17" s="5">
        <f t="shared" si="14"/>
        <v>3851642.1246614452</v>
      </c>
      <c r="Y17" s="42">
        <v>500000</v>
      </c>
      <c r="Z17" s="5">
        <f t="shared" si="32"/>
        <v>4351642.1246614456</v>
      </c>
      <c r="AA17" s="5">
        <f t="shared" si="16"/>
        <v>4433919.0660936721</v>
      </c>
      <c r="AB17" s="5">
        <v>500000</v>
      </c>
      <c r="AC17" s="5">
        <f t="shared" si="33"/>
        <v>4933919.0660936721</v>
      </c>
      <c r="AD17" s="5">
        <f t="shared" si="18"/>
        <v>5023753.8600158533</v>
      </c>
      <c r="AE17" s="5">
        <v>500000</v>
      </c>
      <c r="AF17" s="5">
        <f t="shared" si="34"/>
        <v>5523753.8600158533</v>
      </c>
      <c r="AG17" s="5">
        <f t="shared" si="20"/>
        <v>5620931.2704069996</v>
      </c>
      <c r="AI17" s="5">
        <f t="shared" si="35"/>
        <v>5620931.2704069996</v>
      </c>
      <c r="AJ17" s="42">
        <f t="shared" si="22"/>
        <v>5620931.5619508773</v>
      </c>
      <c r="AK17" s="41">
        <f t="shared" si="24"/>
        <v>5033000</v>
      </c>
      <c r="AL17" s="14">
        <f t="shared" si="23"/>
        <v>587931.56195087731</v>
      </c>
      <c r="AM17" s="15">
        <f>Tableau4[[#This Row],[EP TOTALE]]+Tableau4[[#This Row],[INTERETS]]</f>
        <v>5620931.5619508773</v>
      </c>
      <c r="AN17" s="42">
        <f>Tableau4[[#This Row],[EP TOTALE]]*AK$40</f>
        <v>0</v>
      </c>
    </row>
    <row r="18" spans="1:40">
      <c r="A18" s="5" t="s">
        <v>183</v>
      </c>
      <c r="B18" s="42">
        <v>200000</v>
      </c>
      <c r="C18" s="42">
        <f t="shared" si="0"/>
        <v>201760.35948393674</v>
      </c>
      <c r="D18" s="42">
        <v>100000</v>
      </c>
      <c r="E18" s="5">
        <f t="shared" ref="E18:E26" si="36">+D18+C18</f>
        <v>301760.35948393674</v>
      </c>
      <c r="F18" s="5">
        <f t="shared" si="2"/>
        <v>304734.49572695803</v>
      </c>
      <c r="G18" s="42"/>
      <c r="H18" s="5">
        <f t="shared" ref="H18:H26" si="37">+F18+G18</f>
        <v>304734.49572695803</v>
      </c>
      <c r="I18" s="5">
        <f t="shared" si="4"/>
        <v>311976.85550284968</v>
      </c>
      <c r="J18" s="42"/>
      <c r="K18" s="5">
        <f t="shared" ref="K18:K26" si="38">+I18+J18</f>
        <v>311976.85550284968</v>
      </c>
      <c r="L18" s="5">
        <f t="shared" si="6"/>
        <v>318373.83804081049</v>
      </c>
      <c r="M18" s="42">
        <v>100000</v>
      </c>
      <c r="N18" s="5">
        <f t="shared" ref="N18:N26" si="39">+L18+M18</f>
        <v>418373.83804081049</v>
      </c>
      <c r="O18" s="5">
        <f t="shared" si="8"/>
        <v>427272.87221438176</v>
      </c>
      <c r="P18" s="42"/>
      <c r="Q18" s="5">
        <f t="shared" ref="Q18:Q26" si="40">+O18+P18</f>
        <v>427272.87221438176</v>
      </c>
      <c r="R18" s="5">
        <f t="shared" si="10"/>
        <v>436476.95982397953</v>
      </c>
      <c r="S18" s="42">
        <v>100000</v>
      </c>
      <c r="T18" s="5">
        <f t="shared" ref="T18:T26" si="41">+R18+S18</f>
        <v>536476.95982397953</v>
      </c>
      <c r="U18" s="5">
        <f t="shared" si="12"/>
        <v>547739.03303317691</v>
      </c>
      <c r="V18" s="42"/>
      <c r="W18" s="5">
        <f t="shared" ref="W18:W26" si="42">+U18+V18</f>
        <v>547739.03303317691</v>
      </c>
      <c r="X18" s="5">
        <f t="shared" si="14"/>
        <v>557791.97501657892</v>
      </c>
      <c r="Y18" s="42"/>
      <c r="Z18" s="5">
        <f t="shared" ref="Z18:Z26" si="43">+X18+Y18</f>
        <v>557791.97501657892</v>
      </c>
      <c r="AA18" s="5">
        <f t="shared" si="16"/>
        <v>568338.20477194409</v>
      </c>
      <c r="AC18" s="5">
        <f t="shared" ref="AC18:AC26" si="44">+AA18+AB18</f>
        <v>568338.20477194409</v>
      </c>
      <c r="AD18" s="5">
        <f t="shared" si="18"/>
        <v>578686.27591373795</v>
      </c>
      <c r="AE18" s="5">
        <v>18000</v>
      </c>
      <c r="AF18" s="5">
        <f t="shared" ref="AF18:AF26" si="45">+AD18+AE18</f>
        <v>596686.27591373795</v>
      </c>
      <c r="AG18" s="5">
        <f t="shared" si="20"/>
        <v>607183.56246536341</v>
      </c>
      <c r="AI18" s="5">
        <f t="shared" ref="AI18:AI26" si="46">+AG18+AH18</f>
        <v>607183.56246536341</v>
      </c>
      <c r="AJ18" s="42">
        <f t="shared" si="22"/>
        <v>607183.5939584811</v>
      </c>
      <c r="AK18" s="41">
        <f t="shared" si="24"/>
        <v>518000</v>
      </c>
      <c r="AL18" s="14">
        <f t="shared" si="23"/>
        <v>89183.593958481099</v>
      </c>
      <c r="AM18" s="15">
        <f>Tableau4[[#This Row],[EP TOTALE]]+Tableau4[[#This Row],[INTERETS]]</f>
        <v>607183.5939584811</v>
      </c>
      <c r="AN18" s="42">
        <f>Tableau4[[#This Row],[EP TOTALE]]*AK$40</f>
        <v>0</v>
      </c>
    </row>
    <row r="19" spans="1:40">
      <c r="A19" s="5" t="s">
        <v>184</v>
      </c>
      <c r="B19" s="42">
        <v>40000</v>
      </c>
      <c r="C19" s="42">
        <f t="shared" si="0"/>
        <v>40352.071896787347</v>
      </c>
      <c r="D19" s="42"/>
      <c r="E19" s="5">
        <f t="shared" si="36"/>
        <v>40352.071896787347</v>
      </c>
      <c r="F19" s="5">
        <f t="shared" si="2"/>
        <v>40749.780064004801</v>
      </c>
      <c r="G19" s="42"/>
      <c r="H19" s="5">
        <f t="shared" si="37"/>
        <v>40749.780064004801</v>
      </c>
      <c r="I19" s="5">
        <f t="shared" si="4"/>
        <v>41718.244652524547</v>
      </c>
      <c r="J19" s="42"/>
      <c r="K19" s="5">
        <f t="shared" si="38"/>
        <v>41718.244652524547</v>
      </c>
      <c r="L19" s="5">
        <f t="shared" si="6"/>
        <v>42573.663501228664</v>
      </c>
      <c r="M19" s="42"/>
      <c r="N19" s="5">
        <f t="shared" si="39"/>
        <v>42573.663501228664</v>
      </c>
      <c r="O19" s="5">
        <f t="shared" si="8"/>
        <v>43479.227979556781</v>
      </c>
      <c r="P19" s="42">
        <v>88000</v>
      </c>
      <c r="Q19" s="5">
        <f t="shared" si="40"/>
        <v>131479.22797955677</v>
      </c>
      <c r="R19" s="5">
        <f t="shared" si="10"/>
        <v>134311.48439427934</v>
      </c>
      <c r="S19" s="42"/>
      <c r="T19" s="5">
        <f t="shared" si="41"/>
        <v>134311.48439427934</v>
      </c>
      <c r="U19" s="5">
        <f t="shared" si="12"/>
        <v>137131.03841684284</v>
      </c>
      <c r="V19" s="42"/>
      <c r="W19" s="5">
        <f t="shared" si="42"/>
        <v>137131.03841684284</v>
      </c>
      <c r="X19" s="5">
        <f t="shared" si="14"/>
        <v>139647.87634547133</v>
      </c>
      <c r="Y19" s="42"/>
      <c r="Z19" s="5">
        <f t="shared" si="43"/>
        <v>139647.87634547133</v>
      </c>
      <c r="AA19" s="5">
        <f t="shared" si="16"/>
        <v>142288.21298485089</v>
      </c>
      <c r="AC19" s="5">
        <f t="shared" si="44"/>
        <v>142288.21298485089</v>
      </c>
      <c r="AD19" s="5">
        <f t="shared" si="18"/>
        <v>144878.93896146683</v>
      </c>
      <c r="AF19" s="5">
        <f t="shared" si="45"/>
        <v>144878.93896146683</v>
      </c>
      <c r="AG19" s="5">
        <f t="shared" si="20"/>
        <v>147427.74190694274</v>
      </c>
      <c r="AI19" s="5">
        <f t="shared" si="46"/>
        <v>147427.74190694274</v>
      </c>
      <c r="AJ19" s="42">
        <f t="shared" si="22"/>
        <v>147427.74955365705</v>
      </c>
      <c r="AK19" s="41">
        <f t="shared" si="24"/>
        <v>128000</v>
      </c>
      <c r="AL19" s="14">
        <f t="shared" si="23"/>
        <v>19427.74955365705</v>
      </c>
      <c r="AM19" s="15">
        <f>Tableau4[[#This Row],[EP TOTALE]]+Tableau4[[#This Row],[INTERETS]]</f>
        <v>147427.74955365705</v>
      </c>
      <c r="AN19" s="42">
        <f>Tableau4[[#This Row],[EP TOTALE]]*AK$40</f>
        <v>0</v>
      </c>
    </row>
    <row r="20" spans="1:40">
      <c r="A20" s="5" t="s">
        <v>185</v>
      </c>
      <c r="B20" s="42">
        <v>100000</v>
      </c>
      <c r="C20" s="42">
        <f t="shared" si="0"/>
        <v>100880.17974196837</v>
      </c>
      <c r="D20" s="42"/>
      <c r="E20" s="5">
        <f t="shared" si="36"/>
        <v>100880.17974196837</v>
      </c>
      <c r="F20" s="5">
        <f t="shared" si="2"/>
        <v>101874.45016001201</v>
      </c>
      <c r="G20" s="42"/>
      <c r="H20" s="5">
        <f t="shared" si="37"/>
        <v>101874.45016001201</v>
      </c>
      <c r="I20" s="5">
        <f t="shared" si="4"/>
        <v>104295.61163131137</v>
      </c>
      <c r="J20" s="42">
        <v>20000</v>
      </c>
      <c r="K20" s="5">
        <f t="shared" si="38"/>
        <v>124295.61163131137</v>
      </c>
      <c r="L20" s="5">
        <f t="shared" si="6"/>
        <v>126844.25215744617</v>
      </c>
      <c r="M20" s="42"/>
      <c r="N20" s="5">
        <f t="shared" si="39"/>
        <v>126844.25215744617</v>
      </c>
      <c r="O20" s="5">
        <f t="shared" si="8"/>
        <v>129542.296901248</v>
      </c>
      <c r="P20" s="42"/>
      <c r="Q20" s="5">
        <f t="shared" si="40"/>
        <v>129542.296901248</v>
      </c>
      <c r="R20" s="5">
        <f t="shared" si="10"/>
        <v>132332.82896486419</v>
      </c>
      <c r="S20" s="42"/>
      <c r="T20" s="5">
        <f t="shared" si="41"/>
        <v>132332.82896486419</v>
      </c>
      <c r="U20" s="5">
        <f t="shared" si="12"/>
        <v>135110.84576594262</v>
      </c>
      <c r="V20" s="42"/>
      <c r="W20" s="5">
        <f t="shared" si="42"/>
        <v>135110.84576594262</v>
      </c>
      <c r="X20" s="5">
        <f t="shared" si="14"/>
        <v>137590.6060384429</v>
      </c>
      <c r="Y20" s="42"/>
      <c r="Z20" s="5">
        <f t="shared" si="43"/>
        <v>137590.6060384429</v>
      </c>
      <c r="AA20" s="5">
        <f t="shared" si="16"/>
        <v>140192.04565832668</v>
      </c>
      <c r="AC20" s="5">
        <f t="shared" si="44"/>
        <v>140192.04565832668</v>
      </c>
      <c r="AD20" s="5">
        <f t="shared" si="18"/>
        <v>142744.60547184141</v>
      </c>
      <c r="AF20" s="5">
        <f t="shared" si="45"/>
        <v>142744.60547184141</v>
      </c>
      <c r="AG20" s="5">
        <f t="shared" si="20"/>
        <v>145255.8598576441</v>
      </c>
      <c r="AI20" s="5">
        <f t="shared" si="46"/>
        <v>145255.8598576441</v>
      </c>
      <c r="AJ20" s="42">
        <f t="shared" si="22"/>
        <v>145255.86739170822</v>
      </c>
      <c r="AK20" s="41">
        <f t="shared" si="24"/>
        <v>120000</v>
      </c>
      <c r="AL20" s="14">
        <f t="shared" si="23"/>
        <v>25255.86739170822</v>
      </c>
      <c r="AM20" s="15">
        <f>Tableau4[[#This Row],[EP TOTALE]]+Tableau4[[#This Row],[INTERETS]]</f>
        <v>145255.86739170822</v>
      </c>
      <c r="AN20" s="42">
        <f>Tableau4[[#This Row],[EP TOTALE]]*AK$40</f>
        <v>0</v>
      </c>
    </row>
    <row r="21" spans="1:40">
      <c r="A21" s="5" t="s">
        <v>186</v>
      </c>
      <c r="B21" s="42">
        <v>0</v>
      </c>
      <c r="C21" s="42">
        <f t="shared" si="0"/>
        <v>0</v>
      </c>
      <c r="D21" s="42"/>
      <c r="E21" s="5">
        <f t="shared" si="36"/>
        <v>0</v>
      </c>
      <c r="F21" s="5">
        <f t="shared" si="2"/>
        <v>0</v>
      </c>
      <c r="G21" s="42">
        <v>6000</v>
      </c>
      <c r="H21" s="5">
        <f t="shared" si="37"/>
        <v>6000</v>
      </c>
      <c r="I21" s="5">
        <f t="shared" si="4"/>
        <v>6142.5967826572705</v>
      </c>
      <c r="J21" s="42"/>
      <c r="K21" s="5">
        <f t="shared" si="38"/>
        <v>6142.5967826572705</v>
      </c>
      <c r="L21" s="5">
        <f t="shared" si="6"/>
        <v>6268.5487039722602</v>
      </c>
      <c r="M21" s="42"/>
      <c r="N21" s="5">
        <f t="shared" si="39"/>
        <v>6268.5487039722602</v>
      </c>
      <c r="O21" s="5">
        <f t="shared" si="8"/>
        <v>6401.8840707260088</v>
      </c>
      <c r="P21" s="42"/>
      <c r="Q21" s="5">
        <f t="shared" si="40"/>
        <v>6401.8840707260088</v>
      </c>
      <c r="R21" s="5">
        <f t="shared" si="10"/>
        <v>6539.7900921124683</v>
      </c>
      <c r="S21" s="42"/>
      <c r="T21" s="5">
        <f t="shared" si="41"/>
        <v>6539.7900921124683</v>
      </c>
      <c r="U21" s="5">
        <f t="shared" si="12"/>
        <v>6677.0776185223995</v>
      </c>
      <c r="V21" s="42"/>
      <c r="W21" s="5">
        <f t="shared" si="42"/>
        <v>6677.0776185223995</v>
      </c>
      <c r="X21" s="5">
        <f t="shared" si="14"/>
        <v>6799.625528876657</v>
      </c>
      <c r="Y21" s="42"/>
      <c r="Z21" s="5">
        <f t="shared" si="43"/>
        <v>6799.625528876657</v>
      </c>
      <c r="AA21" s="5">
        <f t="shared" si="16"/>
        <v>6928.1867421781717</v>
      </c>
      <c r="AC21" s="5">
        <f t="shared" si="44"/>
        <v>6928.1867421781717</v>
      </c>
      <c r="AD21" s="5">
        <f t="shared" si="18"/>
        <v>7054.3323517636836</v>
      </c>
      <c r="AF21" s="5">
        <f t="shared" si="45"/>
        <v>7054.3323517636836</v>
      </c>
      <c r="AG21" s="5">
        <f t="shared" si="20"/>
        <v>7178.4366777991145</v>
      </c>
      <c r="AI21" s="5">
        <f t="shared" si="46"/>
        <v>7178.4366777991145</v>
      </c>
      <c r="AJ21" s="42">
        <f t="shared" si="22"/>
        <v>7178.4370501269659</v>
      </c>
      <c r="AK21" s="41">
        <f t="shared" si="24"/>
        <v>6000</v>
      </c>
      <c r="AL21" s="14">
        <f t="shared" si="23"/>
        <v>1178.4370501269659</v>
      </c>
      <c r="AM21" s="15">
        <f>Tableau4[[#This Row],[EP TOTALE]]+Tableau4[[#This Row],[INTERETS]]</f>
        <v>7178.4370501269659</v>
      </c>
      <c r="AN21" s="42">
        <f>Tableau4[[#This Row],[EP TOTALE]]*AK$40</f>
        <v>0</v>
      </c>
    </row>
    <row r="22" spans="1:40">
      <c r="A22" s="5" t="s">
        <v>187</v>
      </c>
      <c r="B22" s="42">
        <v>100000</v>
      </c>
      <c r="C22" s="42">
        <f t="shared" si="0"/>
        <v>100880.17974196837</v>
      </c>
      <c r="D22" s="42"/>
      <c r="E22" s="5">
        <f t="shared" si="36"/>
        <v>100880.17974196837</v>
      </c>
      <c r="F22" s="5">
        <f t="shared" si="2"/>
        <v>101874.45016001201</v>
      </c>
      <c r="G22" s="42"/>
      <c r="H22" s="5">
        <f t="shared" si="37"/>
        <v>101874.45016001201</v>
      </c>
      <c r="I22" s="5">
        <f t="shared" si="4"/>
        <v>104295.61163131137</v>
      </c>
      <c r="J22" s="42"/>
      <c r="K22" s="5">
        <f t="shared" si="38"/>
        <v>104295.61163131137</v>
      </c>
      <c r="L22" s="5">
        <f t="shared" si="6"/>
        <v>106434.15875307166</v>
      </c>
      <c r="M22" s="42"/>
      <c r="N22" s="5">
        <f t="shared" si="39"/>
        <v>106434.15875307166</v>
      </c>
      <c r="O22" s="5">
        <f t="shared" si="8"/>
        <v>108698.06994889195</v>
      </c>
      <c r="P22" s="42"/>
      <c r="Q22" s="5">
        <f t="shared" si="40"/>
        <v>108698.06994889195</v>
      </c>
      <c r="R22" s="5">
        <f t="shared" si="10"/>
        <v>111039.58663264202</v>
      </c>
      <c r="S22" s="42"/>
      <c r="T22" s="5">
        <f t="shared" si="41"/>
        <v>111039.58663264202</v>
      </c>
      <c r="U22" s="5">
        <f t="shared" si="12"/>
        <v>113370.601843782</v>
      </c>
      <c r="V22" s="42"/>
      <c r="W22" s="5">
        <f t="shared" si="42"/>
        <v>113370.601843782</v>
      </c>
      <c r="X22" s="5">
        <f t="shared" si="14"/>
        <v>115451.3520080484</v>
      </c>
      <c r="Y22" s="42"/>
      <c r="Z22" s="5">
        <f t="shared" si="43"/>
        <v>115451.3520080484</v>
      </c>
      <c r="AA22" s="5">
        <f t="shared" si="16"/>
        <v>117634.20249421438</v>
      </c>
      <c r="AC22" s="5">
        <f t="shared" si="44"/>
        <v>117634.20249421438</v>
      </c>
      <c r="AD22" s="5">
        <f t="shared" si="18"/>
        <v>119776.03826365164</v>
      </c>
      <c r="AE22" s="5">
        <v>8000</v>
      </c>
      <c r="AF22" s="5">
        <f t="shared" si="45"/>
        <v>127776.03826365164</v>
      </c>
      <c r="AG22" s="5">
        <f t="shared" si="20"/>
        <v>130023.95604260678</v>
      </c>
      <c r="AI22" s="5">
        <f t="shared" si="46"/>
        <v>130023.95604260678</v>
      </c>
      <c r="AJ22" s="42">
        <f t="shared" si="22"/>
        <v>130023.96278662952</v>
      </c>
      <c r="AK22" s="41">
        <f t="shared" si="24"/>
        <v>108000</v>
      </c>
      <c r="AL22" s="14">
        <f t="shared" si="23"/>
        <v>22023.96278662952</v>
      </c>
      <c r="AM22" s="15">
        <f>Tableau4[[#This Row],[EP TOTALE]]+Tableau4[[#This Row],[INTERETS]]</f>
        <v>130023.96278662952</v>
      </c>
      <c r="AN22" s="42">
        <f>Tableau4[[#This Row],[EP TOTALE]]*AK$40</f>
        <v>0</v>
      </c>
    </row>
    <row r="23" spans="1:40">
      <c r="A23" s="5" t="s">
        <v>188</v>
      </c>
      <c r="B23" s="42"/>
      <c r="C23" s="42">
        <f t="shared" si="0"/>
        <v>0</v>
      </c>
      <c r="D23" s="42"/>
      <c r="E23" s="5">
        <f t="shared" si="36"/>
        <v>0</v>
      </c>
      <c r="F23" s="5">
        <f t="shared" si="2"/>
        <v>0</v>
      </c>
      <c r="G23" s="42">
        <v>100000</v>
      </c>
      <c r="H23" s="5">
        <f t="shared" si="37"/>
        <v>100000</v>
      </c>
      <c r="I23" s="5">
        <f t="shared" si="4"/>
        <v>102376.61304428785</v>
      </c>
      <c r="J23" s="42"/>
      <c r="K23" s="5">
        <f t="shared" si="38"/>
        <v>102376.61304428785</v>
      </c>
      <c r="L23" s="5">
        <f t="shared" si="6"/>
        <v>104475.81173287102</v>
      </c>
      <c r="M23" s="42">
        <v>100000</v>
      </c>
      <c r="N23" s="5">
        <f t="shared" si="39"/>
        <v>204475.81173287102</v>
      </c>
      <c r="O23" s="5">
        <f t="shared" si="8"/>
        <v>208825.121060626</v>
      </c>
      <c r="P23" s="42"/>
      <c r="Q23" s="5">
        <f t="shared" si="40"/>
        <v>208825.121060626</v>
      </c>
      <c r="R23" s="5">
        <f t="shared" si="10"/>
        <v>213323.52204584578</v>
      </c>
      <c r="S23" s="42"/>
      <c r="T23" s="5">
        <f t="shared" si="41"/>
        <v>213323.52204584578</v>
      </c>
      <c r="U23" s="5">
        <f t="shared" si="12"/>
        <v>217801.74814396637</v>
      </c>
      <c r="V23" s="42"/>
      <c r="W23" s="5">
        <f t="shared" si="42"/>
        <v>217801.74814396637</v>
      </c>
      <c r="X23" s="5">
        <f t="shared" si="14"/>
        <v>221799.17795255588</v>
      </c>
      <c r="Y23" s="42"/>
      <c r="Z23" s="5">
        <f t="shared" si="43"/>
        <v>221799.17795255588</v>
      </c>
      <c r="AA23" s="5">
        <f t="shared" si="16"/>
        <v>225992.75762922521</v>
      </c>
      <c r="AC23" s="5">
        <f t="shared" si="44"/>
        <v>225992.75762922521</v>
      </c>
      <c r="AD23" s="5">
        <f t="shared" si="18"/>
        <v>230107.54194926893</v>
      </c>
      <c r="AF23" s="5">
        <f t="shared" si="45"/>
        <v>230107.54194926893</v>
      </c>
      <c r="AG23" s="5">
        <f t="shared" si="20"/>
        <v>234155.74098289455</v>
      </c>
      <c r="AI23" s="5">
        <f t="shared" si="46"/>
        <v>234155.74098289455</v>
      </c>
      <c r="AJ23" s="42">
        <f t="shared" si="22"/>
        <v>234155.75312797682</v>
      </c>
      <c r="AK23" s="41">
        <f t="shared" si="24"/>
        <v>200000</v>
      </c>
      <c r="AL23" s="14">
        <f t="shared" si="23"/>
        <v>34155.753127976815</v>
      </c>
      <c r="AM23" s="15">
        <f>Tableau4[[#This Row],[EP TOTALE]]+Tableau4[[#This Row],[INTERETS]]</f>
        <v>234155.75312797682</v>
      </c>
      <c r="AN23" s="42">
        <f>Tableau4[[#This Row],[EP TOTALE]]*AK$40</f>
        <v>0</v>
      </c>
    </row>
    <row r="24" spans="1:40">
      <c r="A24" s="5" t="s">
        <v>189</v>
      </c>
      <c r="B24" s="42">
        <v>0</v>
      </c>
      <c r="C24" s="42">
        <f t="shared" si="0"/>
        <v>0</v>
      </c>
      <c r="D24" s="42"/>
      <c r="E24" s="5">
        <f t="shared" si="36"/>
        <v>0</v>
      </c>
      <c r="F24" s="5">
        <f t="shared" si="2"/>
        <v>0</v>
      </c>
      <c r="G24" s="42"/>
      <c r="H24" s="5">
        <f t="shared" si="37"/>
        <v>0</v>
      </c>
      <c r="I24" s="5">
        <f t="shared" si="4"/>
        <v>0</v>
      </c>
      <c r="J24" s="42"/>
      <c r="K24" s="5">
        <f t="shared" si="38"/>
        <v>0</v>
      </c>
      <c r="L24" s="5">
        <f t="shared" si="6"/>
        <v>0</v>
      </c>
      <c r="M24" s="42"/>
      <c r="N24" s="5">
        <f t="shared" si="39"/>
        <v>0</v>
      </c>
      <c r="O24" s="5">
        <f t="shared" si="8"/>
        <v>0</v>
      </c>
      <c r="P24" s="42"/>
      <c r="Q24" s="5">
        <f t="shared" si="40"/>
        <v>0</v>
      </c>
      <c r="R24" s="5">
        <f t="shared" si="10"/>
        <v>0</v>
      </c>
      <c r="S24" s="42"/>
      <c r="T24" s="5">
        <f t="shared" si="41"/>
        <v>0</v>
      </c>
      <c r="U24" s="5">
        <f t="shared" si="12"/>
        <v>0</v>
      </c>
      <c r="V24" s="42"/>
      <c r="W24" s="5">
        <f t="shared" si="42"/>
        <v>0</v>
      </c>
      <c r="X24" s="5">
        <f t="shared" si="14"/>
        <v>0</v>
      </c>
      <c r="Y24" s="42">
        <v>100000</v>
      </c>
      <c r="Z24" s="5">
        <f t="shared" si="43"/>
        <v>100000</v>
      </c>
      <c r="AA24" s="5">
        <f t="shared" si="16"/>
        <v>101890.71019801812</v>
      </c>
      <c r="AC24" s="5">
        <f t="shared" si="44"/>
        <v>101890.71019801812</v>
      </c>
      <c r="AD24" s="5">
        <f t="shared" si="18"/>
        <v>103745.89485561135</v>
      </c>
      <c r="AF24" s="5">
        <f t="shared" si="45"/>
        <v>103745.89485561135</v>
      </c>
      <c r="AG24" s="5">
        <f t="shared" si="20"/>
        <v>105571.05898425909</v>
      </c>
      <c r="AI24" s="5">
        <f t="shared" si="46"/>
        <v>105571.05898425909</v>
      </c>
      <c r="AJ24" s="42">
        <f t="shared" si="22"/>
        <v>105571.06445997022</v>
      </c>
      <c r="AK24" s="41">
        <f t="shared" si="24"/>
        <v>100000</v>
      </c>
      <c r="AL24" s="14">
        <f t="shared" si="23"/>
        <v>5571.0644599702209</v>
      </c>
      <c r="AM24" s="15">
        <f>Tableau4[[#This Row],[EP TOTALE]]+Tableau4[[#This Row],[INTERETS]]</f>
        <v>105571.06445997022</v>
      </c>
      <c r="AN24" s="42">
        <f>Tableau4[[#This Row],[EP TOTALE]]*AK$40</f>
        <v>0</v>
      </c>
    </row>
    <row r="25" spans="1:40">
      <c r="A25" s="5" t="s">
        <v>190</v>
      </c>
      <c r="B25" s="42">
        <v>100500</v>
      </c>
      <c r="C25" s="42">
        <f t="shared" si="0"/>
        <v>101384.58064067821</v>
      </c>
      <c r="D25" s="42"/>
      <c r="E25" s="5">
        <f t="shared" si="36"/>
        <v>101384.58064067821</v>
      </c>
      <c r="F25" s="5">
        <f t="shared" si="2"/>
        <v>102383.82241081206</v>
      </c>
      <c r="G25" s="42"/>
      <c r="H25" s="5">
        <f t="shared" si="37"/>
        <v>102383.82241081206</v>
      </c>
      <c r="I25" s="5">
        <f t="shared" si="4"/>
        <v>104817.08968946793</v>
      </c>
      <c r="J25" s="42"/>
      <c r="K25" s="5">
        <f t="shared" si="38"/>
        <v>104817.08968946793</v>
      </c>
      <c r="L25" s="5">
        <f t="shared" si="6"/>
        <v>106966.32954683702</v>
      </c>
      <c r="M25" s="42"/>
      <c r="N25" s="5">
        <f t="shared" si="39"/>
        <v>106966.32954683702</v>
      </c>
      <c r="O25" s="5">
        <f t="shared" si="8"/>
        <v>109241.56029863641</v>
      </c>
      <c r="P25" s="42"/>
      <c r="Q25" s="5">
        <f t="shared" si="40"/>
        <v>109241.56029863641</v>
      </c>
      <c r="R25" s="5">
        <f t="shared" si="10"/>
        <v>111594.78456580524</v>
      </c>
      <c r="S25" s="42"/>
      <c r="T25" s="5">
        <f t="shared" si="41"/>
        <v>111594.78456580524</v>
      </c>
      <c r="U25" s="5">
        <f t="shared" si="12"/>
        <v>113937.45485300092</v>
      </c>
      <c r="V25" s="42"/>
      <c r="W25" s="5">
        <f t="shared" si="42"/>
        <v>113937.45485300092</v>
      </c>
      <c r="X25" s="5">
        <f t="shared" si="14"/>
        <v>116028.60876808866</v>
      </c>
      <c r="Y25" s="42"/>
      <c r="Z25" s="5">
        <f t="shared" si="43"/>
        <v>116028.60876808866</v>
      </c>
      <c r="AA25" s="5">
        <f t="shared" si="16"/>
        <v>118222.37350668546</v>
      </c>
      <c r="AC25" s="5">
        <f t="shared" si="44"/>
        <v>118222.37350668546</v>
      </c>
      <c r="AD25" s="5">
        <f t="shared" si="18"/>
        <v>120374.9184549699</v>
      </c>
      <c r="AF25" s="5">
        <f t="shared" si="45"/>
        <v>120374.9184549699</v>
      </c>
      <c r="AG25" s="5">
        <f t="shared" si="20"/>
        <v>122492.63100117409</v>
      </c>
      <c r="AI25" s="5">
        <f t="shared" si="46"/>
        <v>122492.63100117409</v>
      </c>
      <c r="AJ25" s="42">
        <f t="shared" si="22"/>
        <v>122492.63735456552</v>
      </c>
      <c r="AK25" s="41">
        <f t="shared" si="24"/>
        <v>100500</v>
      </c>
      <c r="AL25" s="14">
        <f t="shared" si="23"/>
        <v>21992.637354565522</v>
      </c>
      <c r="AM25" s="15">
        <f>Tableau4[[#This Row],[EP TOTALE]]+Tableau4[[#This Row],[INTERETS]]</f>
        <v>122492.63735456552</v>
      </c>
      <c r="AN25" s="42">
        <f>Tableau4[[#This Row],[EP TOTALE]]*AK$40</f>
        <v>0</v>
      </c>
    </row>
    <row r="26" spans="1:40">
      <c r="A26" s="5" t="s">
        <v>191</v>
      </c>
      <c r="B26" s="42">
        <v>100000</v>
      </c>
      <c r="C26" s="42">
        <f t="shared" si="0"/>
        <v>100880.17974196837</v>
      </c>
      <c r="D26" s="42"/>
      <c r="E26" s="5">
        <f t="shared" si="36"/>
        <v>100880.17974196837</v>
      </c>
      <c r="F26" s="5">
        <f t="shared" si="2"/>
        <v>101874.45016001201</v>
      </c>
      <c r="G26" s="42"/>
      <c r="H26" s="5">
        <f t="shared" si="37"/>
        <v>101874.45016001201</v>
      </c>
      <c r="I26" s="5">
        <f t="shared" si="4"/>
        <v>104295.61163131137</v>
      </c>
      <c r="J26" s="42"/>
      <c r="K26" s="5">
        <f t="shared" si="38"/>
        <v>104295.61163131137</v>
      </c>
      <c r="L26" s="5">
        <f t="shared" si="6"/>
        <v>106434.15875307166</v>
      </c>
      <c r="M26" s="42"/>
      <c r="N26" s="5">
        <f t="shared" si="39"/>
        <v>106434.15875307166</v>
      </c>
      <c r="O26" s="5">
        <f t="shared" si="8"/>
        <v>108698.06994889195</v>
      </c>
      <c r="P26" s="42"/>
      <c r="Q26" s="5">
        <f t="shared" si="40"/>
        <v>108698.06994889195</v>
      </c>
      <c r="R26" s="5">
        <f t="shared" si="10"/>
        <v>111039.58663264202</v>
      </c>
      <c r="S26" s="42"/>
      <c r="T26" s="5">
        <f t="shared" si="41"/>
        <v>111039.58663264202</v>
      </c>
      <c r="U26" s="5">
        <f t="shared" si="12"/>
        <v>113370.601843782</v>
      </c>
      <c r="V26" s="42"/>
      <c r="W26" s="5">
        <f t="shared" si="42"/>
        <v>113370.601843782</v>
      </c>
      <c r="X26" s="5">
        <f t="shared" si="14"/>
        <v>115451.3520080484</v>
      </c>
      <c r="Y26" s="42">
        <v>0</v>
      </c>
      <c r="Z26" s="5">
        <f t="shared" si="43"/>
        <v>115451.3520080484</v>
      </c>
      <c r="AA26" s="5">
        <f t="shared" si="16"/>
        <v>117634.20249421438</v>
      </c>
      <c r="AC26" s="5">
        <f t="shared" si="44"/>
        <v>117634.20249421438</v>
      </c>
      <c r="AD26" s="5">
        <f t="shared" si="18"/>
        <v>119776.03826365164</v>
      </c>
      <c r="AE26" s="5">
        <v>150000</v>
      </c>
      <c r="AF26" s="5">
        <f t="shared" si="45"/>
        <v>269776.03826365166</v>
      </c>
      <c r="AG26" s="5">
        <f t="shared" si="20"/>
        <v>274522.11085276754</v>
      </c>
      <c r="AI26" s="5">
        <f t="shared" si="46"/>
        <v>274522.11085276754</v>
      </c>
      <c r="AJ26" s="42">
        <f t="shared" si="22"/>
        <v>274522.12509155413</v>
      </c>
      <c r="AK26" s="41">
        <f t="shared" si="24"/>
        <v>250000</v>
      </c>
      <c r="AL26" s="14">
        <f t="shared" si="23"/>
        <v>24522.125091554131</v>
      </c>
      <c r="AM26" s="15">
        <f>Tableau4[[#This Row],[EP TOTALE]]+Tableau4[[#This Row],[INTERETS]]</f>
        <v>274522.12509155413</v>
      </c>
      <c r="AN26" s="42">
        <f>Tableau4[[#This Row],[EP TOTALE]]*AK$40</f>
        <v>0</v>
      </c>
    </row>
    <row r="27" spans="1:40">
      <c r="A27" s="5" t="s">
        <v>192</v>
      </c>
      <c r="B27" s="42">
        <v>600000</v>
      </c>
      <c r="C27" s="42">
        <f t="shared" si="0"/>
        <v>605281.07845181017</v>
      </c>
      <c r="D27" s="42"/>
      <c r="E27" s="5">
        <f t="shared" si="1"/>
        <v>605281.07845181017</v>
      </c>
      <c r="F27" s="5">
        <f t="shared" si="2"/>
        <v>611246.70096007199</v>
      </c>
      <c r="G27" s="42"/>
      <c r="H27" s="5">
        <f t="shared" si="3"/>
        <v>611246.70096007199</v>
      </c>
      <c r="I27" s="5">
        <f t="shared" si="4"/>
        <v>625773.66978786816</v>
      </c>
      <c r="J27" s="42"/>
      <c r="K27" s="5">
        <f t="shared" si="5"/>
        <v>625773.66978786816</v>
      </c>
      <c r="L27" s="5">
        <f t="shared" si="6"/>
        <v>638604.95251842984</v>
      </c>
      <c r="M27" s="42">
        <v>150000</v>
      </c>
      <c r="N27" s="5">
        <f t="shared" si="7"/>
        <v>788604.95251842984</v>
      </c>
      <c r="O27" s="5">
        <f t="shared" si="8"/>
        <v>805378.99951614032</v>
      </c>
      <c r="P27" s="42"/>
      <c r="Q27" s="5">
        <f t="shared" si="9"/>
        <v>805378.99951614032</v>
      </c>
      <c r="R27" s="5">
        <f t="shared" si="10"/>
        <v>822728.05056180898</v>
      </c>
      <c r="S27" s="42"/>
      <c r="T27" s="5">
        <f t="shared" si="11"/>
        <v>822728.05056180898</v>
      </c>
      <c r="U27" s="5">
        <f t="shared" si="12"/>
        <v>839999.29281558143</v>
      </c>
      <c r="V27" s="42"/>
      <c r="W27" s="5">
        <f t="shared" si="13"/>
        <v>839999.29281558143</v>
      </c>
      <c r="X27" s="5">
        <f t="shared" si="14"/>
        <v>855416.24075520772</v>
      </c>
      <c r="Y27" s="42"/>
      <c r="Z27" s="5">
        <f t="shared" si="15"/>
        <v>855416.24075520772</v>
      </c>
      <c r="AA27" s="5">
        <f t="shared" si="16"/>
        <v>871589.68285466963</v>
      </c>
      <c r="AC27" s="5">
        <f t="shared" si="17"/>
        <v>871589.68285466963</v>
      </c>
      <c r="AD27" s="5">
        <f t="shared" si="18"/>
        <v>887459.23371172091</v>
      </c>
      <c r="AF27" s="5">
        <f t="shared" si="19"/>
        <v>887459.23371172091</v>
      </c>
      <c r="AG27" s="5">
        <f t="shared" si="20"/>
        <v>903071.98408861202</v>
      </c>
      <c r="AI27" s="5">
        <f t="shared" si="21"/>
        <v>903071.98408861202</v>
      </c>
      <c r="AJ27" s="42">
        <f t="shared" si="22"/>
        <v>903072.03092873434</v>
      </c>
      <c r="AK27" s="41">
        <f t="shared" si="24"/>
        <v>750000</v>
      </c>
      <c r="AL27" s="14">
        <f t="shared" si="23"/>
        <v>153072.03092873434</v>
      </c>
      <c r="AM27" s="15">
        <f>Tableau4[[#This Row],[EP TOTALE]]+Tableau4[[#This Row],[INTERETS]]</f>
        <v>903072.03092873434</v>
      </c>
      <c r="AN27" s="42">
        <f>Tableau4[[#This Row],[EP TOTALE]]*AK$40</f>
        <v>0</v>
      </c>
    </row>
    <row r="28" spans="1:40">
      <c r="A28" s="5" t="s">
        <v>193</v>
      </c>
      <c r="B28" s="42">
        <v>54000</v>
      </c>
      <c r="C28" s="42">
        <f t="shared" si="0"/>
        <v>54475.297060662917</v>
      </c>
      <c r="D28" s="42">
        <v>100000</v>
      </c>
      <c r="E28" s="5">
        <f t="shared" si="1"/>
        <v>154475.29706066291</v>
      </c>
      <c r="F28" s="5">
        <f t="shared" si="2"/>
        <v>155997.79849334052</v>
      </c>
      <c r="G28" s="42">
        <v>50000</v>
      </c>
      <c r="H28" s="5">
        <f t="shared" si="3"/>
        <v>205997.79849334052</v>
      </c>
      <c r="I28" s="5">
        <f t="shared" si="4"/>
        <v>210893.56904327904</v>
      </c>
      <c r="J28" s="42"/>
      <c r="K28" s="5">
        <f t="shared" si="5"/>
        <v>210893.56904327904</v>
      </c>
      <c r="L28" s="5">
        <f t="shared" si="6"/>
        <v>215217.87212776145</v>
      </c>
      <c r="M28" s="42"/>
      <c r="N28" s="5">
        <f t="shared" si="7"/>
        <v>215217.87212776145</v>
      </c>
      <c r="O28" s="5">
        <f t="shared" si="8"/>
        <v>219795.67079652386</v>
      </c>
      <c r="P28" s="42"/>
      <c r="Q28" s="5">
        <f t="shared" si="9"/>
        <v>219795.67079652386</v>
      </c>
      <c r="R28" s="5">
        <f t="shared" si="10"/>
        <v>224530.39359728823</v>
      </c>
      <c r="S28" s="42"/>
      <c r="T28" s="5">
        <f t="shared" si="11"/>
        <v>224530.39359728823</v>
      </c>
      <c r="U28" s="5">
        <f t="shared" si="12"/>
        <v>229243.88163079525</v>
      </c>
      <c r="V28" s="42"/>
      <c r="W28" s="5">
        <f t="shared" si="13"/>
        <v>229243.88163079525</v>
      </c>
      <c r="X28" s="5">
        <f t="shared" si="14"/>
        <v>233451.31492128465</v>
      </c>
      <c r="Y28" s="42">
        <v>100000</v>
      </c>
      <c r="Z28" s="5">
        <f t="shared" si="15"/>
        <v>333451.31492128468</v>
      </c>
      <c r="AA28" s="5">
        <f t="shared" si="16"/>
        <v>339755.91293792694</v>
      </c>
      <c r="AC28" s="5">
        <f t="shared" si="17"/>
        <v>339755.91293792694</v>
      </c>
      <c r="AD28" s="5">
        <f t="shared" si="18"/>
        <v>345942.05057288951</v>
      </c>
      <c r="AF28" s="5">
        <f t="shared" si="19"/>
        <v>345942.05057288951</v>
      </c>
      <c r="AG28" s="5">
        <f t="shared" si="20"/>
        <v>352028.08435933699</v>
      </c>
      <c r="AI28" s="5">
        <f t="shared" si="21"/>
        <v>352028.08435933699</v>
      </c>
      <c r="AJ28" s="42">
        <f t="shared" si="22"/>
        <v>352028.10261816776</v>
      </c>
      <c r="AK28" s="41">
        <f t="shared" si="24"/>
        <v>304000</v>
      </c>
      <c r="AL28" s="14">
        <f t="shared" si="23"/>
        <v>48028.102618167759</v>
      </c>
      <c r="AM28" s="15">
        <f>Tableau4[[#This Row],[EP TOTALE]]+Tableau4[[#This Row],[INTERETS]]</f>
        <v>352028.10261816776</v>
      </c>
      <c r="AN28" s="42">
        <f>Tableau4[[#This Row],[EP TOTALE]]*AK$40</f>
        <v>0</v>
      </c>
    </row>
    <row r="29" spans="1:40">
      <c r="A29" s="5" t="s">
        <v>194</v>
      </c>
      <c r="B29" s="42">
        <v>300000</v>
      </c>
      <c r="C29" s="42">
        <f t="shared" si="0"/>
        <v>302640.53922590509</v>
      </c>
      <c r="D29" s="42">
        <v>50000</v>
      </c>
      <c r="E29" s="5">
        <f t="shared" si="1"/>
        <v>352640.53922590509</v>
      </c>
      <c r="F29" s="5">
        <f t="shared" si="2"/>
        <v>356116.14818350301</v>
      </c>
      <c r="G29" s="42"/>
      <c r="H29" s="5">
        <f t="shared" si="3"/>
        <v>356116.14818350301</v>
      </c>
      <c r="I29" s="5">
        <f t="shared" si="4"/>
        <v>364579.65101404756</v>
      </c>
      <c r="J29" s="42">
        <v>97000</v>
      </c>
      <c r="K29" s="5">
        <f t="shared" si="5"/>
        <v>461579.65101404756</v>
      </c>
      <c r="L29" s="5">
        <f t="shared" si="6"/>
        <v>471044.18953776488</v>
      </c>
      <c r="M29" s="42">
        <v>200000</v>
      </c>
      <c r="N29" s="5">
        <f t="shared" si="7"/>
        <v>671044.18953776488</v>
      </c>
      <c r="O29" s="5">
        <f t="shared" si="8"/>
        <v>685317.65654669027</v>
      </c>
      <c r="P29" s="42">
        <v>50000</v>
      </c>
      <c r="Q29" s="5">
        <f t="shared" si="9"/>
        <v>735317.65654669027</v>
      </c>
      <c r="R29" s="5">
        <f t="shared" si="10"/>
        <v>751157.48297111178</v>
      </c>
      <c r="S29" s="42"/>
      <c r="T29" s="5">
        <f t="shared" si="11"/>
        <v>751157.48297111178</v>
      </c>
      <c r="U29" s="5">
        <f t="shared" si="12"/>
        <v>766926.26932799967</v>
      </c>
      <c r="V29" s="42"/>
      <c r="W29" s="5">
        <f t="shared" si="13"/>
        <v>766926.26932799967</v>
      </c>
      <c r="X29" s="5">
        <f t="shared" si="14"/>
        <v>781002.06971127144</v>
      </c>
      <c r="Y29" s="42">
        <v>50000</v>
      </c>
      <c r="Z29" s="5">
        <f t="shared" si="15"/>
        <v>831002.06971127144</v>
      </c>
      <c r="AA29" s="5">
        <f t="shared" si="16"/>
        <v>846713.9105890441</v>
      </c>
      <c r="AC29" s="5">
        <f t="shared" si="17"/>
        <v>846713.9105890441</v>
      </c>
      <c r="AD29" s="5">
        <f t="shared" si="18"/>
        <v>862130.53349060973</v>
      </c>
      <c r="AF29" s="5">
        <f t="shared" si="19"/>
        <v>862130.53349060973</v>
      </c>
      <c r="AG29" s="5">
        <f t="shared" si="20"/>
        <v>877297.68517530011</v>
      </c>
      <c r="AI29" s="5">
        <f t="shared" si="21"/>
        <v>877297.68517530011</v>
      </c>
      <c r="AJ29" s="42">
        <f t="shared" si="22"/>
        <v>877297.7306785729</v>
      </c>
      <c r="AK29" s="41">
        <f t="shared" si="24"/>
        <v>747000</v>
      </c>
      <c r="AL29" s="14">
        <f t="shared" si="23"/>
        <v>130297.7306785729</v>
      </c>
      <c r="AM29" s="15">
        <f>Tableau4[[#This Row],[EP TOTALE]]+Tableau4[[#This Row],[INTERETS]]</f>
        <v>877297.7306785729</v>
      </c>
      <c r="AN29" s="42">
        <f>Tableau4[[#This Row],[EP TOTALE]]*AK$40</f>
        <v>0</v>
      </c>
    </row>
    <row r="30" spans="1:40">
      <c r="A30" s="5" t="s">
        <v>195</v>
      </c>
      <c r="B30" s="42">
        <v>106000</v>
      </c>
      <c r="C30" s="42">
        <f t="shared" si="0"/>
        <v>106932.99052648646</v>
      </c>
      <c r="D30" s="42"/>
      <c r="E30" s="5">
        <f t="shared" si="1"/>
        <v>106932.99052648646</v>
      </c>
      <c r="F30" s="5">
        <f t="shared" si="2"/>
        <v>107986.91716961273</v>
      </c>
      <c r="G30" s="42"/>
      <c r="H30" s="5">
        <f t="shared" si="3"/>
        <v>107986.91716961273</v>
      </c>
      <c r="I30" s="5">
        <f t="shared" si="4"/>
        <v>110553.34832919006</v>
      </c>
      <c r="J30" s="42"/>
      <c r="K30" s="5">
        <f t="shared" si="5"/>
        <v>110553.34832919006</v>
      </c>
      <c r="L30" s="5">
        <f t="shared" si="6"/>
        <v>112820.20827825597</v>
      </c>
      <c r="M30" s="42"/>
      <c r="N30" s="5">
        <f t="shared" si="7"/>
        <v>112820.20827825597</v>
      </c>
      <c r="O30" s="5">
        <f t="shared" si="8"/>
        <v>115219.95414582548</v>
      </c>
      <c r="P30" s="42"/>
      <c r="Q30" s="5">
        <f t="shared" si="9"/>
        <v>115219.95414582548</v>
      </c>
      <c r="R30" s="5">
        <f t="shared" si="10"/>
        <v>117701.96183060056</v>
      </c>
      <c r="S30" s="42"/>
      <c r="T30" s="5">
        <f t="shared" si="11"/>
        <v>117701.96183060056</v>
      </c>
      <c r="U30" s="5">
        <f t="shared" si="12"/>
        <v>120172.83795440893</v>
      </c>
      <c r="V30" s="42"/>
      <c r="W30" s="5">
        <f t="shared" si="13"/>
        <v>120172.83795440893</v>
      </c>
      <c r="X30" s="5">
        <f t="shared" si="14"/>
        <v>122378.43312853131</v>
      </c>
      <c r="Y30" s="42">
        <v>5000</v>
      </c>
      <c r="Z30" s="5">
        <f t="shared" si="15"/>
        <v>127378.43312853131</v>
      </c>
      <c r="AA30" s="5">
        <f t="shared" si="16"/>
        <v>129786.79015376815</v>
      </c>
      <c r="AC30" s="5">
        <f t="shared" si="17"/>
        <v>129786.79015376815</v>
      </c>
      <c r="AD30" s="5">
        <f t="shared" si="18"/>
        <v>132149.8953022513</v>
      </c>
      <c r="AF30" s="5">
        <f t="shared" si="19"/>
        <v>132149.8953022513</v>
      </c>
      <c r="AG30" s="5">
        <f t="shared" si="20"/>
        <v>134474.7607713468</v>
      </c>
      <c r="AI30" s="5">
        <f t="shared" si="21"/>
        <v>134474.7607713468</v>
      </c>
      <c r="AJ30" s="42">
        <f t="shared" si="22"/>
        <v>134474.76774622183</v>
      </c>
      <c r="AK30" s="41">
        <f t="shared" si="24"/>
        <v>111000</v>
      </c>
      <c r="AL30" s="14">
        <f t="shared" si="23"/>
        <v>23474.767746221827</v>
      </c>
      <c r="AM30" s="15">
        <f>Tableau4[[#This Row],[EP TOTALE]]+Tableau4[[#This Row],[INTERETS]]</f>
        <v>134474.76774622183</v>
      </c>
      <c r="AN30" s="42">
        <f>Tableau4[[#This Row],[EP TOTALE]]*AK$40</f>
        <v>0</v>
      </c>
    </row>
    <row r="31" spans="1:40">
      <c r="A31" s="5" t="s">
        <v>196</v>
      </c>
      <c r="B31" s="42">
        <v>94000</v>
      </c>
      <c r="C31" s="42">
        <f t="shared" si="0"/>
        <v>94827.368957450264</v>
      </c>
      <c r="D31" s="42"/>
      <c r="E31" s="5">
        <f>+D31+C31</f>
        <v>94827.368957450264</v>
      </c>
      <c r="F31" s="5">
        <f t="shared" si="2"/>
        <v>95761.983150411281</v>
      </c>
      <c r="G31" s="42"/>
      <c r="H31" s="5">
        <f>+F31+G31</f>
        <v>95761.983150411281</v>
      </c>
      <c r="I31" s="5">
        <f t="shared" si="4"/>
        <v>98037.874933432686</v>
      </c>
      <c r="J31" s="42"/>
      <c r="K31" s="5">
        <f>+I31+J31</f>
        <v>98037.874933432686</v>
      </c>
      <c r="L31" s="5">
        <f t="shared" si="6"/>
        <v>100048.10922788735</v>
      </c>
      <c r="M31" s="42"/>
      <c r="N31" s="5">
        <f>+L31+M31</f>
        <v>100048.10922788735</v>
      </c>
      <c r="O31" s="5">
        <f t="shared" si="8"/>
        <v>102176.18575195843</v>
      </c>
      <c r="P31" s="42">
        <v>88000</v>
      </c>
      <c r="Q31" s="5">
        <f>+O31+P31</f>
        <v>190176.18575195843</v>
      </c>
      <c r="R31" s="5">
        <f t="shared" si="10"/>
        <v>194272.86117590603</v>
      </c>
      <c r="S31" s="42"/>
      <c r="T31" s="5">
        <f>+R31+S31</f>
        <v>194272.86117590603</v>
      </c>
      <c r="U31" s="5">
        <f t="shared" si="12"/>
        <v>198351.16341248513</v>
      </c>
      <c r="V31" s="42"/>
      <c r="W31" s="5">
        <f>+U31+V31</f>
        <v>198351.16341248513</v>
      </c>
      <c r="X31" s="5">
        <f t="shared" si="14"/>
        <v>201991.60642981748</v>
      </c>
      <c r="Y31" s="42"/>
      <c r="Z31" s="5">
        <f>+X31+Y31</f>
        <v>201991.60642981748</v>
      </c>
      <c r="AA31" s="5">
        <f t="shared" si="16"/>
        <v>205810.68233172665</v>
      </c>
      <c r="AC31" s="5">
        <f>+AA31+AB31</f>
        <v>205810.68233172665</v>
      </c>
      <c r="AD31" s="5">
        <f t="shared" si="18"/>
        <v>209557.99962383872</v>
      </c>
      <c r="AF31" s="5">
        <f>+AD31+AE31</f>
        <v>209557.99962383872</v>
      </c>
      <c r="AG31" s="5">
        <f t="shared" si="20"/>
        <v>213244.67796727509</v>
      </c>
      <c r="AI31" s="5">
        <f>+AG31+AH31</f>
        <v>213244.67796727509</v>
      </c>
      <c r="AJ31" s="42">
        <f t="shared" si="22"/>
        <v>213244.68902775197</v>
      </c>
      <c r="AK31" s="41">
        <f t="shared" si="24"/>
        <v>182000</v>
      </c>
      <c r="AL31" s="14">
        <f t="shared" si="23"/>
        <v>31244.689027751971</v>
      </c>
      <c r="AM31" s="15">
        <f>Tableau4[[#This Row],[EP TOTALE]]+Tableau4[[#This Row],[INTERETS]]</f>
        <v>213244.68902775197</v>
      </c>
      <c r="AN31" s="42">
        <f>Tableau4[[#This Row],[EP TOTALE]]*AK$40</f>
        <v>0</v>
      </c>
    </row>
    <row r="32" spans="1:40">
      <c r="A32" s="5" t="s">
        <v>86</v>
      </c>
      <c r="B32" s="42">
        <v>32800</v>
      </c>
      <c r="C32" s="42">
        <f t="shared" si="0"/>
        <v>33088.698955365624</v>
      </c>
      <c r="D32" s="42"/>
      <c r="E32" s="5">
        <f>+D32+C32</f>
        <v>33088.698955365624</v>
      </c>
      <c r="F32" s="5">
        <f t="shared" si="2"/>
        <v>33414.819652483937</v>
      </c>
      <c r="G32" s="42"/>
      <c r="H32" s="5">
        <f>+F32+G32</f>
        <v>33414.819652483937</v>
      </c>
      <c r="I32" s="5">
        <f t="shared" si="4"/>
        <v>34208.960615070129</v>
      </c>
      <c r="J32" s="42"/>
      <c r="K32" s="5">
        <f>+I32+J32</f>
        <v>34208.960615070129</v>
      </c>
      <c r="L32" s="5">
        <f t="shared" si="6"/>
        <v>34910.404071007506</v>
      </c>
      <c r="M32" s="42"/>
      <c r="N32" s="5">
        <f>+L32+M32</f>
        <v>34910.404071007506</v>
      </c>
      <c r="O32" s="5">
        <f t="shared" si="8"/>
        <v>35652.966943236563</v>
      </c>
      <c r="P32" s="42"/>
      <c r="Q32" s="5">
        <f>+O32+P32</f>
        <v>35652.966943236563</v>
      </c>
      <c r="R32" s="5">
        <f t="shared" si="10"/>
        <v>36420.984415506588</v>
      </c>
      <c r="S32" s="42">
        <v>100000</v>
      </c>
      <c r="T32" s="5">
        <f>+R32+S32</f>
        <v>136420.98441550659</v>
      </c>
      <c r="U32" s="5">
        <f t="shared" si="12"/>
        <v>139284.82243431415</v>
      </c>
      <c r="V32" s="42"/>
      <c r="W32" s="5">
        <f>+U32+V32</f>
        <v>139284.82243431415</v>
      </c>
      <c r="X32" s="5">
        <f t="shared" si="14"/>
        <v>141841.18989154408</v>
      </c>
      <c r="Y32" s="42"/>
      <c r="Z32" s="5">
        <f>+X32+Y32</f>
        <v>141841.18989154408</v>
      </c>
      <c r="AA32" s="5">
        <f t="shared" si="16"/>
        <v>144522.99573381376</v>
      </c>
      <c r="AC32" s="5">
        <f>+AA32+AB32</f>
        <v>144522.99573381376</v>
      </c>
      <c r="AD32" s="5">
        <f t="shared" si="18"/>
        <v>147154.41172682936</v>
      </c>
      <c r="AE32" s="5">
        <v>2000</v>
      </c>
      <c r="AF32" s="5">
        <f>+AD32+AE32</f>
        <v>149154.41172682936</v>
      </c>
      <c r="AG32" s="5">
        <f t="shared" si="20"/>
        <v>151778.43152339332</v>
      </c>
      <c r="AI32" s="5">
        <f>+AG32+AH32</f>
        <v>151778.43152339332</v>
      </c>
      <c r="AJ32" s="42">
        <f t="shared" si="22"/>
        <v>151778.4393957672</v>
      </c>
      <c r="AK32" s="41">
        <f t="shared" si="24"/>
        <v>134800</v>
      </c>
      <c r="AL32" s="14">
        <f t="shared" si="23"/>
        <v>16978.4393957672</v>
      </c>
      <c r="AM32" s="15">
        <f>Tableau4[[#This Row],[EP TOTALE]]+Tableau4[[#This Row],[INTERETS]]</f>
        <v>151778.4393957672</v>
      </c>
      <c r="AN32" s="42">
        <f>Tableau4[[#This Row],[EP TOTALE]]*AK$40</f>
        <v>0</v>
      </c>
    </row>
    <row r="33" spans="1:40">
      <c r="A33" s="16" t="s">
        <v>197</v>
      </c>
      <c r="B33" s="44">
        <v>104000</v>
      </c>
      <c r="C33" s="42">
        <f t="shared" si="0"/>
        <v>104915.3869316471</v>
      </c>
      <c r="D33" s="44"/>
      <c r="E33" s="16">
        <f t="shared" ref="E33" si="47">+D33+C33</f>
        <v>104915.3869316471</v>
      </c>
      <c r="F33" s="5">
        <f t="shared" si="2"/>
        <v>105949.42816641249</v>
      </c>
      <c r="G33" s="44"/>
      <c r="H33" s="16">
        <f t="shared" ref="H33" si="48">+F33+G33</f>
        <v>105949.42816641249</v>
      </c>
      <c r="I33" s="5">
        <f t="shared" si="4"/>
        <v>108467.43609656382</v>
      </c>
      <c r="J33" s="44">
        <v>140000</v>
      </c>
      <c r="K33" s="16">
        <f t="shared" ref="K33" si="49">+I33+J33</f>
        <v>248467.43609656382</v>
      </c>
      <c r="L33" s="16">
        <f t="shared" si="6"/>
        <v>253562.17893381606</v>
      </c>
      <c r="M33" s="44">
        <v>100000</v>
      </c>
      <c r="N33" s="16">
        <f t="shared" ref="N33" si="50">+L33+M33</f>
        <v>353562.17893381603</v>
      </c>
      <c r="O33" s="16">
        <f t="shared" si="8"/>
        <v>361082.6346285324</v>
      </c>
      <c r="P33" s="44"/>
      <c r="Q33" s="16">
        <f t="shared" ref="Q33" si="51">+O33+P33</f>
        <v>361082.6346285324</v>
      </c>
      <c r="R33" s="16">
        <f t="shared" si="10"/>
        <v>368860.8869341407</v>
      </c>
      <c r="S33" s="44"/>
      <c r="T33" s="16">
        <f t="shared" ref="T33" si="52">+R33+S33</f>
        <v>368860.8869341407</v>
      </c>
      <c r="U33" s="16">
        <f t="shared" si="12"/>
        <v>376604.25454125053</v>
      </c>
      <c r="V33" s="44"/>
      <c r="W33" s="16">
        <f t="shared" ref="W33" si="53">+U33+V33</f>
        <v>376604.25454125053</v>
      </c>
      <c r="X33" s="16">
        <f t="shared" si="14"/>
        <v>383516.27010574332</v>
      </c>
      <c r="Y33" s="44"/>
      <c r="Z33" s="16">
        <f t="shared" ref="Z33" si="54">+X33+Y33</f>
        <v>383516.27010574332</v>
      </c>
      <c r="AA33" s="16">
        <f t="shared" si="16"/>
        <v>390767.45133569132</v>
      </c>
      <c r="AB33" s="16"/>
      <c r="AC33" s="16">
        <f t="shared" ref="AC33" si="55">+AA33+AB33</f>
        <v>390767.45133569132</v>
      </c>
      <c r="AD33" s="16">
        <f t="shared" si="18"/>
        <v>397882.38633806689</v>
      </c>
      <c r="AE33" s="16"/>
      <c r="AF33" s="16">
        <f t="shared" ref="AF33" si="56">+AD33+AE33</f>
        <v>397882.38633806689</v>
      </c>
      <c r="AG33" s="16">
        <f t="shared" si="20"/>
        <v>404882.18772756471</v>
      </c>
      <c r="AI33" s="16">
        <f t="shared" ref="AI33" si="57">+AG33+AH33</f>
        <v>404882.18772756471</v>
      </c>
      <c r="AJ33" s="44">
        <f t="shared" si="22"/>
        <v>404882.2087278078</v>
      </c>
      <c r="AK33" s="41">
        <f t="shared" si="24"/>
        <v>344000</v>
      </c>
      <c r="AL33" s="17">
        <f t="shared" si="23"/>
        <v>60882.208727807796</v>
      </c>
      <c r="AM33" s="18">
        <f>Tableau4[[#This Row],[EP TOTALE]]+Tableau4[[#This Row],[INTERETS]]</f>
        <v>404882.2087278078</v>
      </c>
      <c r="AN33" s="42">
        <f>Tableau4[[#This Row],[EP TOTALE]]*AK$40</f>
        <v>0</v>
      </c>
    </row>
    <row r="34" spans="1:40">
      <c r="A34" s="5" t="s">
        <v>165</v>
      </c>
      <c r="B34" s="42">
        <v>500000</v>
      </c>
      <c r="C34" s="42">
        <f t="shared" si="0"/>
        <v>504400.89870984183</v>
      </c>
      <c r="D34" s="44"/>
      <c r="E34" s="16">
        <f t="shared" ref="E34:E36" si="58">+D34+C34</f>
        <v>504400.89870984183</v>
      </c>
      <c r="F34" s="16">
        <f t="shared" si="2"/>
        <v>509372.25080006005</v>
      </c>
      <c r="G34" s="44"/>
      <c r="H34" s="16">
        <f t="shared" ref="H34:H36" si="59">+F34+G34</f>
        <v>509372.25080006005</v>
      </c>
      <c r="I34" s="5">
        <f t="shared" si="4"/>
        <v>521478.05815655686</v>
      </c>
      <c r="J34" s="44"/>
      <c r="K34" s="16">
        <f t="shared" ref="K34:K36" si="60">+I34+J34</f>
        <v>521478.05815655686</v>
      </c>
      <c r="L34" s="16">
        <f t="shared" si="6"/>
        <v>532170.79376535828</v>
      </c>
      <c r="M34" s="44"/>
      <c r="N34" s="16">
        <f t="shared" ref="N34:N36" si="61">+L34+M34</f>
        <v>532170.79376535828</v>
      </c>
      <c r="O34" s="16">
        <f t="shared" si="8"/>
        <v>543490.34974445973</v>
      </c>
      <c r="P34" s="44"/>
      <c r="Q34" s="16">
        <f t="shared" ref="Q34:Q36" si="62">+O34+P34</f>
        <v>543490.34974445973</v>
      </c>
      <c r="R34" s="16">
        <f t="shared" si="10"/>
        <v>555197.93316321005</v>
      </c>
      <c r="S34" s="44"/>
      <c r="T34" s="16">
        <f t="shared" ref="T34:T35" si="63">+R34+S34</f>
        <v>555197.93316321005</v>
      </c>
      <c r="U34" s="16">
        <f t="shared" si="12"/>
        <v>566853.00921890989</v>
      </c>
      <c r="V34" s="44"/>
      <c r="W34" s="16">
        <f t="shared" ref="W34:W36" si="64">+U34+V34</f>
        <v>566853.00921890989</v>
      </c>
      <c r="X34" s="16">
        <f t="shared" si="14"/>
        <v>577256.76004024188</v>
      </c>
      <c r="Y34" s="44"/>
      <c r="Z34" s="16">
        <f t="shared" ref="Z34:Z36" si="65">+X34+Y34</f>
        <v>577256.76004024188</v>
      </c>
      <c r="AA34" s="16">
        <f t="shared" si="16"/>
        <v>588171.01247107168</v>
      </c>
      <c r="AB34" s="16"/>
      <c r="AC34" s="16">
        <f t="shared" ref="AC34:AC36" si="66">+AA34+AB34</f>
        <v>588171.01247107168</v>
      </c>
      <c r="AD34" s="16">
        <f t="shared" si="18"/>
        <v>598880.19131825794</v>
      </c>
      <c r="AE34" s="16"/>
      <c r="AF34" s="16">
        <f t="shared" ref="AF34:AF36" si="67">+AD34+AE34</f>
        <v>598880.19131825794</v>
      </c>
      <c r="AG34" s="16">
        <f t="shared" si="20"/>
        <v>609416.07463270659</v>
      </c>
      <c r="AI34" s="16">
        <f t="shared" ref="AI34:AI36" si="68">+AG34+AH34</f>
        <v>609416.07463270659</v>
      </c>
      <c r="AJ34" s="44">
        <f t="shared" si="22"/>
        <v>609416.10624161921</v>
      </c>
      <c r="AK34" s="41">
        <f t="shared" si="24"/>
        <v>500000</v>
      </c>
      <c r="AL34" s="17">
        <f t="shared" si="23"/>
        <v>109416.10624161921</v>
      </c>
      <c r="AM34" s="18">
        <f>Tableau4[[#This Row],[EP TOTALE]]+Tableau4[[#This Row],[INTERETS]]</f>
        <v>609416.10624161921</v>
      </c>
      <c r="AN34" s="42">
        <f>Tableau4[[#This Row],[EP TOTALE]]*AK$40</f>
        <v>0</v>
      </c>
    </row>
    <row r="35" spans="1:40">
      <c r="A35" s="16" t="s">
        <v>85</v>
      </c>
      <c r="B35" s="44">
        <v>410000</v>
      </c>
      <c r="C35" s="42">
        <f t="shared" si="0"/>
        <v>413608.7369420703</v>
      </c>
      <c r="D35" s="44"/>
      <c r="E35" s="16">
        <f t="shared" si="58"/>
        <v>413608.7369420703</v>
      </c>
      <c r="F35" s="16">
        <f t="shared" si="2"/>
        <v>417685.24565604923</v>
      </c>
      <c r="G35" s="44"/>
      <c r="H35" s="16">
        <f t="shared" si="59"/>
        <v>417685.24565604923</v>
      </c>
      <c r="I35" s="5">
        <f t="shared" si="4"/>
        <v>427612.00768837665</v>
      </c>
      <c r="J35" s="44"/>
      <c r="K35" s="16">
        <f t="shared" si="60"/>
        <v>427612.00768837665</v>
      </c>
      <c r="L35" s="16">
        <f t="shared" si="6"/>
        <v>436380.05088759382</v>
      </c>
      <c r="M35" s="44"/>
      <c r="N35" s="16">
        <f t="shared" si="61"/>
        <v>436380.05088759382</v>
      </c>
      <c r="O35" s="16">
        <f t="shared" si="8"/>
        <v>445662.08679045702</v>
      </c>
      <c r="P35" s="44"/>
      <c r="Q35" s="16">
        <f t="shared" si="62"/>
        <v>445662.08679045702</v>
      </c>
      <c r="R35" s="16">
        <f t="shared" si="10"/>
        <v>455262.30519383232</v>
      </c>
      <c r="S35" s="44"/>
      <c r="T35" s="16">
        <f t="shared" si="63"/>
        <v>455262.30519383232</v>
      </c>
      <c r="U35" s="16">
        <f t="shared" si="12"/>
        <v>464819.46755950624</v>
      </c>
      <c r="V35" s="44"/>
      <c r="W35" s="16">
        <f t="shared" si="64"/>
        <v>464819.46755950624</v>
      </c>
      <c r="X35" s="16">
        <f t="shared" si="14"/>
        <v>473350.54323299852</v>
      </c>
      <c r="Y35" s="44"/>
      <c r="Z35" s="16">
        <f t="shared" si="65"/>
        <v>473350.54323299852</v>
      </c>
      <c r="AA35" s="16">
        <f t="shared" si="16"/>
        <v>482300.230226279</v>
      </c>
      <c r="AB35" s="16"/>
      <c r="AC35" s="16">
        <f t="shared" si="66"/>
        <v>482300.230226279</v>
      </c>
      <c r="AD35" s="16">
        <f t="shared" si="18"/>
        <v>491081.75688097178</v>
      </c>
      <c r="AE35" s="16"/>
      <c r="AF35" s="16">
        <f t="shared" si="67"/>
        <v>491081.75688097178</v>
      </c>
      <c r="AG35" s="16">
        <f t="shared" si="20"/>
        <v>499721.18119881972</v>
      </c>
      <c r="AI35" s="16">
        <f t="shared" si="68"/>
        <v>499721.18119881972</v>
      </c>
      <c r="AJ35" s="44">
        <f t="shared" si="22"/>
        <v>499721.20711812808</v>
      </c>
      <c r="AK35" s="41">
        <f t="shared" si="24"/>
        <v>410000</v>
      </c>
      <c r="AL35" s="17">
        <f t="shared" si="23"/>
        <v>89721.207118128077</v>
      </c>
      <c r="AM35" s="18">
        <f>Tableau4[[#This Row],[EP TOTALE]]+Tableau4[[#This Row],[INTERETS]]</f>
        <v>499721.20711812808</v>
      </c>
      <c r="AN35" s="42">
        <f>Tableau4[[#This Row],[EP TOTALE]]*AK$40</f>
        <v>0</v>
      </c>
    </row>
    <row r="36" spans="1:40">
      <c r="A36" s="16" t="s">
        <v>166</v>
      </c>
      <c r="B36" s="44"/>
      <c r="C36" s="42">
        <f t="shared" si="0"/>
        <v>0</v>
      </c>
      <c r="D36" s="44"/>
      <c r="E36" s="16">
        <f t="shared" si="58"/>
        <v>0</v>
      </c>
      <c r="F36" s="16">
        <f t="shared" si="2"/>
        <v>0</v>
      </c>
      <c r="G36" s="44"/>
      <c r="H36" s="16">
        <f t="shared" si="59"/>
        <v>0</v>
      </c>
      <c r="I36" s="16">
        <f t="shared" si="4"/>
        <v>0</v>
      </c>
      <c r="J36" s="44"/>
      <c r="K36" s="16">
        <f t="shared" si="60"/>
        <v>0</v>
      </c>
      <c r="L36" s="16">
        <f t="shared" si="6"/>
        <v>0</v>
      </c>
      <c r="M36" s="44"/>
      <c r="N36" s="16">
        <f t="shared" si="61"/>
        <v>0</v>
      </c>
      <c r="O36" s="16">
        <f t="shared" si="8"/>
        <v>0</v>
      </c>
      <c r="P36" s="44"/>
      <c r="Q36" s="16">
        <f t="shared" si="62"/>
        <v>0</v>
      </c>
      <c r="R36" s="16">
        <f t="shared" si="10"/>
        <v>0</v>
      </c>
      <c r="S36" s="44"/>
      <c r="T36" s="16">
        <f>+R36+S36</f>
        <v>0</v>
      </c>
      <c r="U36" s="16">
        <f t="shared" si="12"/>
        <v>0</v>
      </c>
      <c r="V36" s="44"/>
      <c r="W36" s="16">
        <f t="shared" si="64"/>
        <v>0</v>
      </c>
      <c r="X36" s="16">
        <f t="shared" si="14"/>
        <v>0</v>
      </c>
      <c r="Y36" s="44"/>
      <c r="Z36" s="16">
        <f t="shared" si="65"/>
        <v>0</v>
      </c>
      <c r="AA36" s="16">
        <f t="shared" si="16"/>
        <v>0</v>
      </c>
      <c r="AB36" s="16"/>
      <c r="AC36" s="16">
        <f t="shared" si="66"/>
        <v>0</v>
      </c>
      <c r="AD36" s="16">
        <f t="shared" si="18"/>
        <v>0</v>
      </c>
      <c r="AE36" s="16"/>
      <c r="AF36" s="16">
        <f t="shared" si="67"/>
        <v>0</v>
      </c>
      <c r="AG36" s="16">
        <f t="shared" si="20"/>
        <v>0</v>
      </c>
      <c r="AI36" s="16">
        <f t="shared" si="68"/>
        <v>0</v>
      </c>
      <c r="AJ36" s="44">
        <f t="shared" si="22"/>
        <v>0</v>
      </c>
      <c r="AK36" s="41">
        <f t="shared" si="24"/>
        <v>0</v>
      </c>
      <c r="AL36" s="17">
        <f t="shared" si="23"/>
        <v>0</v>
      </c>
      <c r="AM36" s="18">
        <f>Tableau4[[#This Row],[EP TOTALE]]+Tableau4[[#This Row],[INTERETS]]</f>
        <v>0</v>
      </c>
      <c r="AN36" s="42">
        <f>Tableau4[[#This Row],[EP TOTALE]]*AK$40</f>
        <v>0</v>
      </c>
    </row>
    <row r="37" spans="1:40">
      <c r="A37" s="5" t="s">
        <v>43</v>
      </c>
      <c r="B37" s="43">
        <f>SUM(B2:B36)</f>
        <v>4317300</v>
      </c>
      <c r="C37" s="42">
        <f t="shared" si="0"/>
        <v>4355300</v>
      </c>
      <c r="D37" s="42">
        <f>SUM(D2:D36)</f>
        <v>1497000</v>
      </c>
      <c r="E37" s="43">
        <f t="shared" si="1"/>
        <v>5852300</v>
      </c>
      <c r="F37" s="42">
        <f t="shared" si="2"/>
        <v>5909980.0000000009</v>
      </c>
      <c r="G37" s="42">
        <f>+SUM(G2:G36)</f>
        <v>1179100</v>
      </c>
      <c r="H37" s="43">
        <f t="shared" si="3"/>
        <v>7089080.0000000009</v>
      </c>
      <c r="I37" s="42">
        <f t="shared" si="4"/>
        <v>7257560.0000000019</v>
      </c>
      <c r="J37" s="42">
        <f>SUM(J2:J36)</f>
        <v>1954000</v>
      </c>
      <c r="K37" s="43">
        <f t="shared" si="5"/>
        <v>9211560.0000000019</v>
      </c>
      <c r="L37" s="42">
        <f t="shared" si="6"/>
        <v>9400440.0000000019</v>
      </c>
      <c r="M37" s="42">
        <f>SUM(M2:M36)</f>
        <v>1407000</v>
      </c>
      <c r="N37" s="43">
        <f t="shared" si="7"/>
        <v>10807440.000000002</v>
      </c>
      <c r="O37" s="42">
        <f t="shared" si="8"/>
        <v>11037320</v>
      </c>
      <c r="P37" s="42">
        <f>+SUM(P2:P36)</f>
        <v>973000</v>
      </c>
      <c r="Q37" s="43">
        <f t="shared" si="9"/>
        <v>12010320</v>
      </c>
      <c r="R37" s="42">
        <f t="shared" si="10"/>
        <v>12269039.999999998</v>
      </c>
      <c r="S37" s="42">
        <f>+SUM(S2:S36)</f>
        <v>907000</v>
      </c>
      <c r="T37" s="43">
        <f t="shared" si="11"/>
        <v>13176039.999999998</v>
      </c>
      <c r="U37" s="42">
        <f t="shared" si="12"/>
        <v>13452639.999999998</v>
      </c>
      <c r="V37" s="42">
        <f>+SUM(V2:V36)</f>
        <v>1897000</v>
      </c>
      <c r="W37" s="43">
        <f t="shared" si="13"/>
        <v>15349639.999999998</v>
      </c>
      <c r="X37" s="42">
        <f t="shared" si="14"/>
        <v>15631359.999999998</v>
      </c>
      <c r="Y37" s="42">
        <f>+SUM(Y2:Y36)</f>
        <v>955000</v>
      </c>
      <c r="Z37" s="43">
        <f t="shared" si="15"/>
        <v>16586359.999999998</v>
      </c>
      <c r="AA37" s="42">
        <f t="shared" si="16"/>
        <v>16899959.999999996</v>
      </c>
      <c r="AB37" s="42">
        <f>+SUM(AB2:AB36)</f>
        <v>763000</v>
      </c>
      <c r="AC37" s="43">
        <f t="shared" si="17"/>
        <v>17662959.999999996</v>
      </c>
      <c r="AD37" s="42">
        <f t="shared" si="18"/>
        <v>17984559.999999996</v>
      </c>
      <c r="AE37" s="42">
        <f>+SUM(AE2:AE35)</f>
        <v>962000</v>
      </c>
      <c r="AF37" s="43">
        <f t="shared" si="19"/>
        <v>18946559.999999996</v>
      </c>
      <c r="AG37" s="42">
        <f t="shared" si="20"/>
        <v>19279879.999999993</v>
      </c>
      <c r="AH37" s="42">
        <f>+SUM(AH2:AH36)</f>
        <v>0</v>
      </c>
      <c r="AI37" s="43">
        <f t="shared" si="21"/>
        <v>19279879.999999993</v>
      </c>
      <c r="AJ37" s="42">
        <f t="shared" si="22"/>
        <v>19279880.99999994</v>
      </c>
      <c r="AK37" s="41">
        <f>+SUM(AK2:AK36)</f>
        <v>16811400</v>
      </c>
      <c r="AL37" s="58">
        <f t="shared" si="23"/>
        <v>2468480.9999999404</v>
      </c>
      <c r="AM37" s="64">
        <f>Tableau4[[#This Row],[EP TOTALE]]+Tableau4[[#This Row],[INTERETS]]</f>
        <v>19279880.99999994</v>
      </c>
      <c r="AN37" s="42">
        <f>Tableau4[[#This Row],[EP TOTALE]]*AK$40</f>
        <v>0</v>
      </c>
    </row>
    <row r="38" spans="1:40">
      <c r="AG38" s="4"/>
      <c r="AH38" s="4"/>
      <c r="AI38" s="4"/>
      <c r="AJ38" s="5">
        <f>AJ40/AJ35</f>
        <v>0</v>
      </c>
    </row>
    <row r="39" spans="1:40">
      <c r="G39" s="42"/>
      <c r="J39" s="42"/>
      <c r="M39" s="42"/>
      <c r="P39" s="42"/>
      <c r="S39" s="42"/>
      <c r="V39" s="42"/>
      <c r="Y39" s="42"/>
      <c r="AG39" s="4"/>
      <c r="AH39" s="4"/>
      <c r="AI39" s="4"/>
      <c r="AJ39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baseColWidth="10" defaultRowHeight="17.25"/>
  <cols>
    <col min="1" max="1" width="30.28515625" style="9" customWidth="1"/>
    <col min="2" max="2" width="14.140625" style="9" customWidth="1"/>
    <col min="3" max="5" width="14.42578125" style="9" customWidth="1"/>
    <col min="6" max="6" width="13.7109375" style="9" customWidth="1"/>
    <col min="7" max="7" width="13" style="9" customWidth="1"/>
    <col min="8" max="8" width="14.28515625" style="9" customWidth="1"/>
    <col min="9" max="9" width="16" style="9" customWidth="1"/>
    <col min="10" max="10" width="13.7109375" style="9" customWidth="1"/>
    <col min="11" max="11" width="14.85546875" style="9" customWidth="1"/>
    <col min="12" max="12" width="13.28515625" style="9" customWidth="1"/>
    <col min="13" max="14" width="13.42578125" style="9" customWidth="1"/>
    <col min="15" max="15" width="14" style="9" customWidth="1"/>
    <col min="16" max="16384" width="11.42578125" style="9"/>
  </cols>
  <sheetData>
    <row r="1" spans="1:15">
      <c r="A1" s="35" t="s">
        <v>0</v>
      </c>
      <c r="B1" s="35" t="s">
        <v>44</v>
      </c>
      <c r="C1" s="35" t="s">
        <v>53</v>
      </c>
      <c r="D1" s="35" t="s">
        <v>54</v>
      </c>
      <c r="E1" s="35" t="s">
        <v>45</v>
      </c>
      <c r="F1" s="35" t="s">
        <v>46</v>
      </c>
      <c r="G1" s="35" t="s">
        <v>47</v>
      </c>
      <c r="H1" s="35" t="s">
        <v>48</v>
      </c>
      <c r="I1" s="35" t="s">
        <v>76</v>
      </c>
      <c r="J1" s="35" t="s">
        <v>77</v>
      </c>
      <c r="K1" s="35" t="s">
        <v>49</v>
      </c>
      <c r="L1" s="35" t="s">
        <v>50</v>
      </c>
      <c r="M1" s="35" t="s">
        <v>51</v>
      </c>
      <c r="N1" s="35" t="s">
        <v>52</v>
      </c>
      <c r="O1" s="35" t="s">
        <v>55</v>
      </c>
    </row>
    <row r="2" spans="1:15">
      <c r="A2" s="36" t="s">
        <v>167</v>
      </c>
      <c r="B2" s="6">
        <v>10000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>
        <f t="shared" ref="O2:O34" si="0">+SUM(C2:N2)</f>
        <v>0</v>
      </c>
    </row>
    <row r="3" spans="1:15">
      <c r="A3" s="36" t="s">
        <v>168</v>
      </c>
      <c r="B3" s="6">
        <v>10000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>
        <f t="shared" si="0"/>
        <v>0</v>
      </c>
    </row>
    <row r="4" spans="1:15">
      <c r="A4" s="36" t="s">
        <v>169</v>
      </c>
      <c r="B4" s="6">
        <v>10000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>
        <f t="shared" si="0"/>
        <v>0</v>
      </c>
    </row>
    <row r="5" spans="1:15">
      <c r="A5" s="36" t="s">
        <v>170</v>
      </c>
      <c r="B5" s="6">
        <v>10000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>
        <f t="shared" si="0"/>
        <v>0</v>
      </c>
    </row>
    <row r="6" spans="1:15">
      <c r="A6" s="36" t="s">
        <v>171</v>
      </c>
      <c r="B6" s="6">
        <v>10000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>
        <f t="shared" si="0"/>
        <v>0</v>
      </c>
    </row>
    <row r="7" spans="1:15">
      <c r="A7" s="36" t="s">
        <v>172</v>
      </c>
      <c r="B7" s="6">
        <v>10000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>
        <f t="shared" si="0"/>
        <v>0</v>
      </c>
    </row>
    <row r="8" spans="1:15">
      <c r="A8" s="36" t="s">
        <v>173</v>
      </c>
      <c r="B8" s="6">
        <v>10000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>
        <f t="shared" si="0"/>
        <v>0</v>
      </c>
    </row>
    <row r="9" spans="1:15">
      <c r="A9" s="36" t="s">
        <v>174</v>
      </c>
      <c r="B9" s="6">
        <v>10000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>
        <f t="shared" si="0"/>
        <v>0</v>
      </c>
    </row>
    <row r="10" spans="1:15">
      <c r="A10" s="36" t="s">
        <v>175</v>
      </c>
      <c r="B10" s="6">
        <v>10000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>
        <f t="shared" si="0"/>
        <v>0</v>
      </c>
    </row>
    <row r="11" spans="1:15">
      <c r="A11" s="36" t="s">
        <v>176</v>
      </c>
      <c r="B11" s="6">
        <v>10000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>
        <f t="shared" si="0"/>
        <v>0</v>
      </c>
    </row>
    <row r="12" spans="1:15">
      <c r="A12" s="36" t="s">
        <v>177</v>
      </c>
      <c r="B12" s="6">
        <v>10000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>
        <f t="shared" si="0"/>
        <v>0</v>
      </c>
    </row>
    <row r="13" spans="1:15">
      <c r="A13" s="36" t="s">
        <v>178</v>
      </c>
      <c r="B13" s="6">
        <v>10000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>
        <f t="shared" si="0"/>
        <v>0</v>
      </c>
    </row>
    <row r="14" spans="1:15">
      <c r="A14" s="36" t="s">
        <v>179</v>
      </c>
      <c r="B14" s="6">
        <v>10000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>
        <f t="shared" si="0"/>
        <v>0</v>
      </c>
    </row>
    <row r="15" spans="1:15">
      <c r="A15" s="36" t="s">
        <v>180</v>
      </c>
      <c r="B15" s="6">
        <v>10000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>
        <f t="shared" si="0"/>
        <v>0</v>
      </c>
    </row>
    <row r="16" spans="1:15">
      <c r="A16" s="36" t="s">
        <v>181</v>
      </c>
      <c r="B16" s="6">
        <v>10000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>
        <f t="shared" si="0"/>
        <v>0</v>
      </c>
    </row>
    <row r="17" spans="1:15">
      <c r="A17" s="36" t="s">
        <v>182</v>
      </c>
      <c r="B17" s="6">
        <v>10000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>
        <f t="shared" si="0"/>
        <v>0</v>
      </c>
    </row>
    <row r="18" spans="1:15">
      <c r="A18" s="36" t="s">
        <v>183</v>
      </c>
      <c r="B18" s="6">
        <v>10000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>
        <f t="shared" si="0"/>
        <v>0</v>
      </c>
    </row>
    <row r="19" spans="1:15">
      <c r="A19" s="36" t="s">
        <v>184</v>
      </c>
      <c r="B19" s="6">
        <v>10000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>
        <f t="shared" si="0"/>
        <v>0</v>
      </c>
    </row>
    <row r="20" spans="1:15">
      <c r="A20" s="36" t="s">
        <v>185</v>
      </c>
      <c r="B20" s="6">
        <v>10000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>
        <f t="shared" si="0"/>
        <v>0</v>
      </c>
    </row>
    <row r="21" spans="1:15">
      <c r="A21" s="36" t="s">
        <v>186</v>
      </c>
      <c r="B21" s="6">
        <v>10000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>
        <f t="shared" si="0"/>
        <v>0</v>
      </c>
    </row>
    <row r="22" spans="1:15">
      <c r="A22" s="36" t="s">
        <v>187</v>
      </c>
      <c r="B22" s="6">
        <v>10000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>
        <f t="shared" si="0"/>
        <v>0</v>
      </c>
    </row>
    <row r="23" spans="1:15">
      <c r="A23" s="36" t="s">
        <v>188</v>
      </c>
      <c r="B23" s="6">
        <v>10000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>
        <f t="shared" si="0"/>
        <v>0</v>
      </c>
    </row>
    <row r="24" spans="1:15">
      <c r="A24" s="36" t="s">
        <v>189</v>
      </c>
      <c r="B24" s="6">
        <v>10000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>
        <f t="shared" si="0"/>
        <v>0</v>
      </c>
    </row>
    <row r="25" spans="1:15">
      <c r="A25" s="36" t="s">
        <v>190</v>
      </c>
      <c r="B25" s="6">
        <v>10000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f t="shared" si="0"/>
        <v>0</v>
      </c>
    </row>
    <row r="26" spans="1:15">
      <c r="A26" s="36" t="s">
        <v>191</v>
      </c>
      <c r="B26" s="6">
        <v>10000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f t="shared" si="0"/>
        <v>0</v>
      </c>
    </row>
    <row r="27" spans="1:15">
      <c r="A27" s="36" t="s">
        <v>192</v>
      </c>
      <c r="B27" s="6">
        <v>10000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f t="shared" si="0"/>
        <v>0</v>
      </c>
    </row>
    <row r="28" spans="1:15">
      <c r="A28" s="36" t="s">
        <v>193</v>
      </c>
      <c r="B28" s="6">
        <v>10000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f t="shared" si="0"/>
        <v>0</v>
      </c>
    </row>
    <row r="29" spans="1:15">
      <c r="A29" s="36" t="s">
        <v>194</v>
      </c>
      <c r="B29" s="6">
        <v>10000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f t="shared" si="0"/>
        <v>0</v>
      </c>
    </row>
    <row r="30" spans="1:15">
      <c r="A30" s="36" t="s">
        <v>195</v>
      </c>
      <c r="B30" s="6">
        <v>10000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f t="shared" si="0"/>
        <v>0</v>
      </c>
    </row>
    <row r="31" spans="1:15">
      <c r="A31" s="36" t="s">
        <v>196</v>
      </c>
      <c r="B31" s="6">
        <v>10000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f t="shared" si="0"/>
        <v>0</v>
      </c>
    </row>
    <row r="32" spans="1:15">
      <c r="A32" s="36" t="s">
        <v>86</v>
      </c>
      <c r="B32" s="6">
        <v>10000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f t="shared" si="0"/>
        <v>0</v>
      </c>
    </row>
    <row r="33" spans="1:15">
      <c r="A33" s="36" t="s">
        <v>197</v>
      </c>
      <c r="B33" s="6">
        <v>10000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>
        <f t="shared" si="0"/>
        <v>0</v>
      </c>
    </row>
    <row r="34" spans="1:15" s="12" customFormat="1">
      <c r="A34" s="10" t="s">
        <v>43</v>
      </c>
      <c r="B34" s="11">
        <f t="shared" ref="B34:N34" si="1">+SUM(B2:B33)</f>
        <v>320000</v>
      </c>
      <c r="C34" s="10">
        <f t="shared" si="1"/>
        <v>0</v>
      </c>
      <c r="D34" s="10">
        <f t="shared" si="1"/>
        <v>0</v>
      </c>
      <c r="E34" s="10">
        <f t="shared" si="1"/>
        <v>0</v>
      </c>
      <c r="F34" s="10">
        <f t="shared" si="1"/>
        <v>0</v>
      </c>
      <c r="G34" s="12">
        <f t="shared" si="1"/>
        <v>0</v>
      </c>
      <c r="H34" s="10">
        <f t="shared" si="1"/>
        <v>0</v>
      </c>
      <c r="I34" s="10">
        <f t="shared" si="1"/>
        <v>0</v>
      </c>
      <c r="J34" s="10">
        <f t="shared" si="1"/>
        <v>0</v>
      </c>
      <c r="K34" s="10">
        <f t="shared" si="1"/>
        <v>0</v>
      </c>
      <c r="L34" s="10">
        <f t="shared" si="1"/>
        <v>0</v>
      </c>
      <c r="M34" s="10">
        <f t="shared" si="1"/>
        <v>0</v>
      </c>
      <c r="N34" s="10">
        <f t="shared" si="1"/>
        <v>0</v>
      </c>
      <c r="O34" s="1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4FF2-4536-4D6D-952C-F979EA6BDBBC}">
  <dimension ref="A1:AU44"/>
  <sheetViews>
    <sheetView tabSelected="1" topLeftCell="A31" zoomScaleNormal="100" workbookViewId="0">
      <pane xSplit="1" topLeftCell="AK1" activePane="topRight" state="frozen"/>
      <selection pane="topRight" activeCell="AP42" sqref="AP42"/>
    </sheetView>
  </sheetViews>
  <sheetFormatPr baseColWidth="10" defaultRowHeight="15"/>
  <cols>
    <col min="1" max="1" width="22.5703125" style="5" customWidth="1"/>
    <col min="2" max="2" width="14.42578125" style="5" customWidth="1"/>
    <col min="3" max="3" width="13.85546875" style="5" customWidth="1"/>
    <col min="4" max="6" width="14.42578125" style="5" bestFit="1" customWidth="1"/>
    <col min="7" max="13" width="14.28515625" style="5" bestFit="1" customWidth="1"/>
    <col min="14" max="15" width="15.28515625" style="5" bestFit="1" customWidth="1"/>
    <col min="16" max="16" width="12.85546875" style="5" bestFit="1" customWidth="1"/>
    <col min="17" max="18" width="15.28515625" style="5" bestFit="1" customWidth="1"/>
    <col min="19" max="19" width="12.85546875" style="5" bestFit="1" customWidth="1"/>
    <col min="20" max="21" width="15.28515625" style="5" bestFit="1" customWidth="1"/>
    <col min="22" max="22" width="14.28515625" style="5" bestFit="1" customWidth="1"/>
    <col min="23" max="24" width="15.28515625" style="5" bestFit="1" customWidth="1"/>
    <col min="25" max="25" width="12" style="5" customWidth="1"/>
    <col min="26" max="27" width="15.28515625" style="5" bestFit="1" customWidth="1"/>
    <col min="28" max="28" width="12.85546875" style="5" bestFit="1" customWidth="1"/>
    <col min="29" max="30" width="15.28515625" style="5" bestFit="1" customWidth="1"/>
    <col min="31" max="31" width="12.85546875" style="5" bestFit="1" customWidth="1"/>
    <col min="32" max="33" width="15.28515625" style="5" bestFit="1" customWidth="1"/>
    <col min="34" max="34" width="11.5703125" style="5" bestFit="1" customWidth="1"/>
    <col min="35" max="35" width="15.28515625" style="5" bestFit="1" customWidth="1"/>
    <col min="36" max="36" width="13.28515625" style="5" customWidth="1"/>
    <col min="37" max="37" width="17.28515625" style="5" customWidth="1"/>
    <col min="38" max="38" width="12.85546875" style="5" customWidth="1"/>
    <col min="39" max="39" width="15.28515625" style="5" bestFit="1" customWidth="1"/>
    <col min="40" max="40" width="8.28515625" style="5" customWidth="1"/>
    <col min="41" max="41" width="6" style="5" customWidth="1"/>
    <col min="42" max="42" width="23" style="5" customWidth="1"/>
    <col min="43" max="43" width="15.28515625" style="5" bestFit="1" customWidth="1"/>
    <col min="44" max="44" width="11.42578125" style="5"/>
    <col min="45" max="45" width="12.7109375" style="5" bestFit="1" customWidth="1"/>
    <col min="46" max="46" width="5.7109375" style="5" customWidth="1"/>
    <col min="47" max="16384" width="11.42578125" style="5"/>
  </cols>
  <sheetData>
    <row r="1" spans="1:47">
      <c r="A1" s="4" t="s">
        <v>0</v>
      </c>
      <c r="B1" s="28" t="s">
        <v>17</v>
      </c>
      <c r="C1" s="4" t="s">
        <v>87</v>
      </c>
      <c r="D1" s="28" t="s">
        <v>19</v>
      </c>
      <c r="E1" s="4" t="s">
        <v>3</v>
      </c>
      <c r="F1" s="4" t="s">
        <v>203</v>
      </c>
      <c r="G1" s="28" t="s">
        <v>88</v>
      </c>
      <c r="H1" s="4" t="s">
        <v>5</v>
      </c>
      <c r="I1" s="4" t="s">
        <v>68</v>
      </c>
      <c r="J1" s="28" t="s">
        <v>1</v>
      </c>
      <c r="K1" s="4" t="s">
        <v>7</v>
      </c>
      <c r="L1" s="4" t="s">
        <v>69</v>
      </c>
      <c r="M1" s="28" t="s">
        <v>2</v>
      </c>
      <c r="N1" s="4" t="s">
        <v>9</v>
      </c>
      <c r="O1" s="4" t="s">
        <v>10</v>
      </c>
      <c r="P1" s="28" t="s">
        <v>4</v>
      </c>
      <c r="Q1" s="4" t="s">
        <v>11</v>
      </c>
      <c r="R1" s="4" t="s">
        <v>70</v>
      </c>
      <c r="S1" s="28" t="s">
        <v>6</v>
      </c>
      <c r="T1" s="4" t="s">
        <v>14</v>
      </c>
      <c r="U1" s="4" t="s">
        <v>71</v>
      </c>
      <c r="V1" s="28" t="s">
        <v>8</v>
      </c>
      <c r="W1" s="4" t="s">
        <v>15</v>
      </c>
      <c r="X1" s="4" t="s">
        <v>72</v>
      </c>
      <c r="Y1" s="28" t="s">
        <v>89</v>
      </c>
      <c r="Z1" s="4" t="s">
        <v>16</v>
      </c>
      <c r="AA1" s="4" t="s">
        <v>73</v>
      </c>
      <c r="AB1" s="28" t="s">
        <v>12</v>
      </c>
      <c r="AC1" s="4" t="s">
        <v>18</v>
      </c>
      <c r="AD1" s="4" t="s">
        <v>74</v>
      </c>
      <c r="AE1" s="28" t="s">
        <v>13</v>
      </c>
      <c r="AF1" s="4" t="s">
        <v>20</v>
      </c>
      <c r="AG1" s="4" t="s">
        <v>75</v>
      </c>
      <c r="AH1" s="28" t="s">
        <v>90</v>
      </c>
      <c r="AI1" s="4" t="s">
        <v>204</v>
      </c>
      <c r="AJ1" s="4" t="s">
        <v>84</v>
      </c>
      <c r="AK1" s="34" t="s">
        <v>21</v>
      </c>
      <c r="AL1" s="4" t="s">
        <v>22</v>
      </c>
      <c r="AM1" s="4" t="s">
        <v>23</v>
      </c>
      <c r="AO1" s="68" t="s">
        <v>208</v>
      </c>
      <c r="AP1" s="68" t="s">
        <v>209</v>
      </c>
      <c r="AQ1" s="68" t="s">
        <v>210</v>
      </c>
      <c r="AR1" s="68" t="s">
        <v>211</v>
      </c>
      <c r="AS1" s="68" t="s">
        <v>55</v>
      </c>
      <c r="AT1" s="68"/>
      <c r="AU1" s="68" t="s">
        <v>212</v>
      </c>
    </row>
    <row r="2" spans="1:47">
      <c r="A2" s="5" t="s">
        <v>167</v>
      </c>
      <c r="B2" s="42">
        <v>94000</v>
      </c>
      <c r="C2" s="5">
        <f>B2*(1+(intérêts25!B$34)/(B$37))</f>
        <v>94827.368957450264</v>
      </c>
      <c r="D2" s="42"/>
      <c r="E2" s="5">
        <f t="shared" ref="E2:E37" si="0">+D2+C2</f>
        <v>94827.368957450264</v>
      </c>
      <c r="F2" s="5">
        <f>+E2*(1+(intérêts25!C$34)/(E$37))</f>
        <v>95761.983150411281</v>
      </c>
      <c r="G2" s="42"/>
      <c r="H2" s="5">
        <f t="shared" ref="H2:H37" si="1">+F2+G2</f>
        <v>95761.983150411281</v>
      </c>
      <c r="I2" s="5">
        <f>+H2*(1+(intérêts25!D$34)/(H$37))</f>
        <v>97983.841415317249</v>
      </c>
      <c r="J2" s="42"/>
      <c r="K2" s="5">
        <f t="shared" ref="K2:K37" si="2">+I2+J2</f>
        <v>97983.841415317249</v>
      </c>
      <c r="L2" s="5">
        <f>+K2*(1+(intérêts25!E$34)/(K$37))</f>
        <v>99419.190251501655</v>
      </c>
      <c r="M2" s="42"/>
      <c r="N2" s="5">
        <f t="shared" ref="N2:N37" si="3">+L2+M2</f>
        <v>99419.190251501655</v>
      </c>
      <c r="O2" s="5">
        <f>+N2*(1+(intérêts25!F$34)/(N$37))</f>
        <v>100583.42649719065</v>
      </c>
      <c r="P2" s="42"/>
      <c r="Q2" s="5">
        <f t="shared" ref="Q2:Q37" si="4">+O2+P2</f>
        <v>100583.42649719065</v>
      </c>
      <c r="R2" s="5">
        <f>+Q2*(1+(intérêts25!G$34)/(Q$37))</f>
        <v>101896.88424880822</v>
      </c>
      <c r="S2" s="42"/>
      <c r="T2" s="5">
        <f t="shared" ref="T2:T37" si="5">+R2+S2</f>
        <v>101896.88424880822</v>
      </c>
      <c r="U2" s="5">
        <f>+T2*(1+(intérêts25!H$34)/(T$37))</f>
        <v>103259.18848809364</v>
      </c>
      <c r="V2" s="42"/>
      <c r="W2" s="5">
        <f t="shared" ref="W2:W37" si="6">+U2+V2</f>
        <v>103259.18848809364</v>
      </c>
      <c r="X2" s="5">
        <f>+W2*(1+(intérêts25!I$34)/(W$37))</f>
        <v>104484.26619210414</v>
      </c>
      <c r="Y2" s="42"/>
      <c r="Z2" s="5">
        <f t="shared" ref="Z2:Z37" si="7">+X2+Y2</f>
        <v>104484.26619210414</v>
      </c>
      <c r="AA2" s="5">
        <f>+Z2*(1+(intérêts25!J$34)/(Z$37))</f>
        <v>106403.74557270779</v>
      </c>
      <c r="AC2" s="5">
        <f t="shared" ref="AC2:AC37" si="8">+AA2+AB2</f>
        <v>106403.74557270779</v>
      </c>
      <c r="AD2" s="5">
        <f>+AC2*(1+(intérêts25!K$34)/(AC$37))</f>
        <v>108237.93393574494</v>
      </c>
      <c r="AF2" s="5">
        <f t="shared" ref="AF2:AF37" si="9">+AD2+AE2</f>
        <v>108237.93393574494</v>
      </c>
      <c r="AG2" s="5">
        <f>+AF2*(1+(intérêts25!L$34)/(AF$37))</f>
        <v>110106.29244323727</v>
      </c>
      <c r="AI2" s="5">
        <f t="shared" ref="AI2:AI37" si="10">+AG2+AH2</f>
        <v>110106.29244323727</v>
      </c>
      <c r="AJ2" s="42">
        <f>+AI2*(1+(intérêts25!M$34)/(AI$37))</f>
        <v>110106.29244323727</v>
      </c>
      <c r="AK2" s="41">
        <f>B2+D2+G2+J2+M2+P2+S2+V2+Y2+AB2+AE2+AH2</f>
        <v>94000</v>
      </c>
      <c r="AL2" s="58">
        <f>-AK2+AJ2</f>
        <v>16106.292443237267</v>
      </c>
      <c r="AM2" s="64">
        <f>Tableau44[[#This Row],[EP TOTALE]]+Tableau44[[#This Row],[INTERETS]]</f>
        <v>110106.29244323727</v>
      </c>
      <c r="AO2" s="69">
        <v>1</v>
      </c>
      <c r="AP2" s="70" t="s">
        <v>167</v>
      </c>
      <c r="AQ2" s="71">
        <v>94000</v>
      </c>
      <c r="AR2" s="71">
        <v>16106.292443237267</v>
      </c>
      <c r="AS2" s="71">
        <v>110106.29244323727</v>
      </c>
      <c r="AT2" s="71"/>
      <c r="AU2" s="69"/>
    </row>
    <row r="3" spans="1:47">
      <c r="A3" s="5" t="s">
        <v>168</v>
      </c>
      <c r="B3" s="42">
        <v>129000</v>
      </c>
      <c r="C3" s="5">
        <f>B3*(1+(intérêts25!B$34)/(B$37))</f>
        <v>130135.4318671392</v>
      </c>
      <c r="D3" s="42"/>
      <c r="E3" s="5">
        <f t="shared" si="0"/>
        <v>130135.4318671392</v>
      </c>
      <c r="F3" s="5">
        <f>+E3*(1+(intérêts25!C$34)/(E$37))</f>
        <v>131418.04070641549</v>
      </c>
      <c r="G3" s="42">
        <v>100000</v>
      </c>
      <c r="H3" s="5">
        <f t="shared" si="1"/>
        <v>231418.04070641549</v>
      </c>
      <c r="I3" s="5">
        <f>+H3*(1+(intérêts25!D$34)/(H$37))</f>
        <v>236787.37485631803</v>
      </c>
      <c r="J3" s="42">
        <v>100000</v>
      </c>
      <c r="K3" s="5">
        <f t="shared" si="2"/>
        <v>336787.374856318</v>
      </c>
      <c r="L3" s="5">
        <f>+K3*(1+(intérêts25!E$34)/(K$37))</f>
        <v>341720.91654604039</v>
      </c>
      <c r="M3" s="42"/>
      <c r="N3" s="5">
        <f t="shared" si="3"/>
        <v>341720.91654604039</v>
      </c>
      <c r="O3" s="5">
        <f>+N3*(1+(intérêts25!F$34)/(N$37))</f>
        <v>345722.59746847133</v>
      </c>
      <c r="P3" s="42"/>
      <c r="Q3" s="5">
        <f t="shared" si="4"/>
        <v>345722.59746847133</v>
      </c>
      <c r="R3" s="5">
        <f>+Q3*(1+(intérêts25!G$34)/(Q$37))</f>
        <v>350237.17846225965</v>
      </c>
      <c r="S3" s="42"/>
      <c r="T3" s="5">
        <f t="shared" si="5"/>
        <v>350237.17846225965</v>
      </c>
      <c r="U3" s="5">
        <f>+T3*(1+(intérêts25!H$34)/(T$37))</f>
        <v>354919.65326501674</v>
      </c>
      <c r="V3" s="42"/>
      <c r="W3" s="5">
        <f t="shared" si="6"/>
        <v>354919.65326501674</v>
      </c>
      <c r="X3" s="5">
        <f>+W3*(1+(intérêts25!I$34)/(W$37))</f>
        <v>359130.45678087283</v>
      </c>
      <c r="Y3" s="42"/>
      <c r="Z3" s="5">
        <f t="shared" si="7"/>
        <v>359130.45678087283</v>
      </c>
      <c r="AA3" s="5">
        <f>+Z3*(1+(intérêts25!J$34)/(Z$37))</f>
        <v>365728.03871220624</v>
      </c>
      <c r="AC3" s="5">
        <f t="shared" si="8"/>
        <v>365728.03871220624</v>
      </c>
      <c r="AD3" s="5">
        <f>+AC3*(1+(intérêts25!K$34)/(AC$37))</f>
        <v>372032.46069502021</v>
      </c>
      <c r="AF3" s="5">
        <f t="shared" si="9"/>
        <v>372032.46069502021</v>
      </c>
      <c r="AG3" s="5">
        <f>+AF3*(1+(intérêts25!L$34)/(AF$37))</f>
        <v>378454.33136205905</v>
      </c>
      <c r="AI3" s="5">
        <f t="shared" si="10"/>
        <v>378454.33136205905</v>
      </c>
      <c r="AJ3" s="42">
        <f>+AI3*(1+(intérêts25!M$34)/(AI$37))</f>
        <v>378454.33136205905</v>
      </c>
      <c r="AK3" s="41">
        <f t="shared" ref="AK3:AK36" si="11">B3+D3+G3+J3+M3+P3+S3+V3+Y3+AB3+AE3+AH3</f>
        <v>329000</v>
      </c>
      <c r="AL3" s="58">
        <f>-AK3+AJ3</f>
        <v>49454.331362059049</v>
      </c>
      <c r="AM3" s="64">
        <f>Tableau44[[#This Row],[EP TOTALE]]+Tableau44[[#This Row],[INTERETS]]</f>
        <v>378454.33136205905</v>
      </c>
      <c r="AO3" s="69">
        <v>2</v>
      </c>
      <c r="AP3" s="69" t="s">
        <v>168</v>
      </c>
      <c r="AQ3" s="71">
        <v>329000</v>
      </c>
      <c r="AR3" s="71">
        <v>49454.331362059049</v>
      </c>
      <c r="AS3" s="71">
        <v>378454.33136205905</v>
      </c>
      <c r="AT3" s="71"/>
      <c r="AU3" s="69"/>
    </row>
    <row r="4" spans="1:47">
      <c r="A4" s="5" t="s">
        <v>169</v>
      </c>
      <c r="B4" s="42">
        <v>107000</v>
      </c>
      <c r="C4" s="5">
        <f>B4*(1+(intérêts25!B$34)/(B$37))</f>
        <v>107941.79232390615</v>
      </c>
      <c r="D4" s="42">
        <v>56000</v>
      </c>
      <c r="E4" s="5">
        <f t="shared" si="0"/>
        <v>163941.79232390615</v>
      </c>
      <c r="F4" s="5">
        <f>+E4*(1+(intérêts25!C$34)/(E$37))</f>
        <v>165557.5950990959</v>
      </c>
      <c r="G4" s="42">
        <v>7000</v>
      </c>
      <c r="H4" s="5">
        <f t="shared" si="1"/>
        <v>172557.5950990959</v>
      </c>
      <c r="I4" s="5">
        <f>+H4*(1+(intérêts25!D$34)/(H$37))</f>
        <v>176561.25611602605</v>
      </c>
      <c r="J4" s="42">
        <v>7000</v>
      </c>
      <c r="K4" s="5">
        <f t="shared" si="2"/>
        <v>183561.25611602605</v>
      </c>
      <c r="L4" s="5">
        <f>+K4*(1+(intérêts25!E$34)/(K$37))</f>
        <v>186250.21412715275</v>
      </c>
      <c r="M4" s="42">
        <v>7000</v>
      </c>
      <c r="N4" s="5">
        <f t="shared" si="3"/>
        <v>193250.21412715275</v>
      </c>
      <c r="O4" s="5">
        <f>+N4*(1+(intérêts25!F$34)/(N$37))</f>
        <v>195513.24708089975</v>
      </c>
      <c r="P4" s="42">
        <v>7000</v>
      </c>
      <c r="Q4" s="5">
        <f t="shared" si="4"/>
        <v>202513.24708089975</v>
      </c>
      <c r="R4" s="5">
        <f>+Q4*(1+(intérêts25!G$34)/(Q$37))</f>
        <v>205157.74432509614</v>
      </c>
      <c r="S4" s="42">
        <v>7000</v>
      </c>
      <c r="T4" s="5">
        <f t="shared" si="5"/>
        <v>212157.74432509614</v>
      </c>
      <c r="U4" s="5">
        <f>+T4*(1+(intérêts25!H$34)/(T$37))</f>
        <v>214994.17447329953</v>
      </c>
      <c r="V4" s="42">
        <v>7000</v>
      </c>
      <c r="W4" s="5">
        <f t="shared" si="6"/>
        <v>221994.17447329953</v>
      </c>
      <c r="X4" s="5">
        <f>+W4*(1+(intérêts25!I$34)/(W$37))</f>
        <v>224627.93634524001</v>
      </c>
      <c r="Y4" s="42"/>
      <c r="Z4" s="5">
        <f t="shared" si="7"/>
        <v>224627.93634524001</v>
      </c>
      <c r="AA4" s="5">
        <f>+Z4*(1+(intérêts25!J$34)/(Z$37))</f>
        <v>228754.57385570969</v>
      </c>
      <c r="AC4" s="5">
        <f t="shared" si="8"/>
        <v>228754.57385570969</v>
      </c>
      <c r="AD4" s="5">
        <f>+AC4*(1+(intérêts25!K$34)/(AC$37))</f>
        <v>232697.84648299665</v>
      </c>
      <c r="AE4" s="5">
        <v>8000</v>
      </c>
      <c r="AF4" s="5">
        <f t="shared" si="9"/>
        <v>240697.84648299665</v>
      </c>
      <c r="AG4" s="5">
        <f>+AF4*(1+(intérêts25!L$34)/(AF$37))</f>
        <v>244852.67328778913</v>
      </c>
      <c r="AI4" s="5">
        <f t="shared" si="10"/>
        <v>244852.67328778913</v>
      </c>
      <c r="AJ4" s="42">
        <f>+AI4*(1+(intérêts25!M$34)/(AI$37))</f>
        <v>244852.67328778913</v>
      </c>
      <c r="AK4" s="41">
        <f t="shared" si="11"/>
        <v>213000</v>
      </c>
      <c r="AL4" s="58">
        <f t="shared" ref="AL4:AL37" si="12">-AK4+AJ4</f>
        <v>31852.673287789134</v>
      </c>
      <c r="AM4" s="64">
        <f>Tableau44[[#This Row],[EP TOTALE]]+Tableau44[[#This Row],[INTERETS]]</f>
        <v>244852.67328778913</v>
      </c>
      <c r="AO4" s="69">
        <v>3</v>
      </c>
      <c r="AP4" s="70" t="s">
        <v>169</v>
      </c>
      <c r="AQ4" s="71">
        <v>213000</v>
      </c>
      <c r="AR4" s="71">
        <v>31852.673287789134</v>
      </c>
      <c r="AS4" s="71">
        <v>244852.67328778913</v>
      </c>
      <c r="AT4" s="71"/>
      <c r="AU4" s="69"/>
    </row>
    <row r="5" spans="1:47">
      <c r="A5" s="5" t="s">
        <v>170</v>
      </c>
      <c r="B5" s="42">
        <v>94000</v>
      </c>
      <c r="C5" s="5">
        <f>B5*(1+(intérêts25!B$34)/(B$37))</f>
        <v>94827.368957450264</v>
      </c>
      <c r="D5" s="42"/>
      <c r="E5" s="5">
        <f>+D5+C5</f>
        <v>94827.368957450264</v>
      </c>
      <c r="F5" s="5">
        <f>+E5*(1+(intérêts25!C$34)/(E$37))</f>
        <v>95761.983150411281</v>
      </c>
      <c r="G5" s="42"/>
      <c r="H5" s="5">
        <f t="shared" si="1"/>
        <v>95761.983150411281</v>
      </c>
      <c r="I5" s="5">
        <f>+H5*(1+(intérêts25!D$34)/(H$37))</f>
        <v>97983.841415317249</v>
      </c>
      <c r="J5" s="42"/>
      <c r="K5" s="5">
        <f t="shared" si="2"/>
        <v>97983.841415317249</v>
      </c>
      <c r="L5" s="5">
        <f>+K5*(1+(intérêts25!E$34)/(K$37))</f>
        <v>99419.190251501655</v>
      </c>
      <c r="M5" s="42"/>
      <c r="N5" s="5">
        <f t="shared" si="3"/>
        <v>99419.190251501655</v>
      </c>
      <c r="O5" s="5">
        <f>+N5*(1+(intérêts25!F$34)/(N$37))</f>
        <v>100583.42649719065</v>
      </c>
      <c r="P5" s="42"/>
      <c r="Q5" s="5">
        <f t="shared" si="4"/>
        <v>100583.42649719065</v>
      </c>
      <c r="R5" s="5">
        <f>+Q5*(1+(intérêts25!G$34)/(Q$37))</f>
        <v>101896.88424880822</v>
      </c>
      <c r="S5" s="42"/>
      <c r="T5" s="5">
        <f t="shared" si="5"/>
        <v>101896.88424880822</v>
      </c>
      <c r="U5" s="5">
        <f>+T5*(1+(intérêts25!H$34)/(T$37))</f>
        <v>103259.18848809364</v>
      </c>
      <c r="V5" s="42"/>
      <c r="W5" s="5">
        <f t="shared" si="6"/>
        <v>103259.18848809364</v>
      </c>
      <c r="X5" s="5">
        <f>+W5*(1+(intérêts25!I$34)/(W$37))</f>
        <v>104484.26619210414</v>
      </c>
      <c r="Y5" s="42"/>
      <c r="Z5" s="5">
        <f t="shared" si="7"/>
        <v>104484.26619210414</v>
      </c>
      <c r="AA5" s="5">
        <f>+Z5*(1+(intérêts25!J$34)/(Z$37))</f>
        <v>106403.74557270779</v>
      </c>
      <c r="AC5" s="5">
        <f t="shared" si="8"/>
        <v>106403.74557270779</v>
      </c>
      <c r="AD5" s="5">
        <f>+AC5*(1+(intérêts25!K$34)/(AC$37))</f>
        <v>108237.93393574494</v>
      </c>
      <c r="AE5" s="5">
        <v>8000</v>
      </c>
      <c r="AF5" s="5">
        <f t="shared" si="9"/>
        <v>116237.93393574494</v>
      </c>
      <c r="AG5" s="5">
        <f>+AF5*(1+(intérêts25!L$34)/(AF$37))</f>
        <v>118244.38513880565</v>
      </c>
      <c r="AI5" s="5">
        <f t="shared" si="10"/>
        <v>118244.38513880565</v>
      </c>
      <c r="AJ5" s="42">
        <f>+AI5*(1+(intérêts25!M$34)/(AI$37))</f>
        <v>118244.38513880565</v>
      </c>
      <c r="AK5" s="41">
        <f t="shared" si="11"/>
        <v>102000</v>
      </c>
      <c r="AL5" s="58">
        <f t="shared" si="12"/>
        <v>16244.38513880565</v>
      </c>
      <c r="AM5" s="64">
        <f>Tableau44[[#This Row],[EP TOTALE]]+Tableau44[[#This Row],[INTERETS]]</f>
        <v>118244.38513880565</v>
      </c>
      <c r="AO5" s="69">
        <v>4</v>
      </c>
      <c r="AP5" s="69" t="s">
        <v>170</v>
      </c>
      <c r="AQ5" s="71">
        <v>102000</v>
      </c>
      <c r="AR5" s="71">
        <v>16244.38513880565</v>
      </c>
      <c r="AS5" s="71">
        <v>118244.38513880565</v>
      </c>
      <c r="AT5" s="71"/>
      <c r="AU5" s="69"/>
    </row>
    <row r="6" spans="1:47">
      <c r="A6" s="5" t="s">
        <v>171</v>
      </c>
      <c r="B6" s="42">
        <v>100000</v>
      </c>
      <c r="C6" s="5">
        <f>B6*(1+(intérêts25!B$34)/(B$37))</f>
        <v>100880.17974196837</v>
      </c>
      <c r="D6" s="42"/>
      <c r="E6" s="5">
        <f t="shared" si="0"/>
        <v>100880.17974196837</v>
      </c>
      <c r="F6" s="5">
        <f>+E6*(1+(intérêts25!C$34)/(E$37))</f>
        <v>101874.45016001201</v>
      </c>
      <c r="G6" s="42"/>
      <c r="H6" s="5">
        <f t="shared" si="1"/>
        <v>101874.45016001201</v>
      </c>
      <c r="I6" s="5">
        <f>+H6*(1+(intérêts25!D$34)/(H$37))</f>
        <v>104238.12916523113</v>
      </c>
      <c r="J6" s="42"/>
      <c r="K6" s="5">
        <f t="shared" si="2"/>
        <v>104238.12916523113</v>
      </c>
      <c r="L6" s="5">
        <f>+K6*(1+(intérêts25!E$34)/(K$37))</f>
        <v>105765.09601223582</v>
      </c>
      <c r="M6" s="42"/>
      <c r="N6" s="5">
        <f t="shared" si="3"/>
        <v>105765.09601223582</v>
      </c>
      <c r="O6" s="5">
        <f>+N6*(1+(intérêts25!F$34)/(N$37))</f>
        <v>107003.64520977731</v>
      </c>
      <c r="P6" s="42"/>
      <c r="Q6" s="5">
        <f t="shared" si="4"/>
        <v>107003.64520977731</v>
      </c>
      <c r="R6" s="5">
        <f>+Q6*(1+(intérêts25!G$34)/(Q$37))</f>
        <v>108400.94069022153</v>
      </c>
      <c r="S6" s="42"/>
      <c r="T6" s="5">
        <f t="shared" si="5"/>
        <v>108400.94069022153</v>
      </c>
      <c r="U6" s="5">
        <f>+T6*(1+(intérêts25!H$34)/(T$37))</f>
        <v>109850.20051924858</v>
      </c>
      <c r="V6" s="42"/>
      <c r="W6" s="5">
        <f t="shared" si="6"/>
        <v>109850.20051924858</v>
      </c>
      <c r="X6" s="5">
        <f>+W6*(1+(intérêts25!I$34)/(W$37))</f>
        <v>111153.47467245124</v>
      </c>
      <c r="Y6" s="42"/>
      <c r="Z6" s="5">
        <f t="shared" si="7"/>
        <v>111153.47467245124</v>
      </c>
      <c r="AA6" s="5">
        <f>+Z6*(1+(intérêts25!J$34)/(Z$37))</f>
        <v>113195.47401351895</v>
      </c>
      <c r="AC6" s="5">
        <f t="shared" si="8"/>
        <v>113195.47401351895</v>
      </c>
      <c r="AD6" s="5">
        <f>+AC6*(1+(intérêts25!K$34)/(AC$37))</f>
        <v>115146.7382295159</v>
      </c>
      <c r="AF6" s="5">
        <f t="shared" si="9"/>
        <v>115146.7382295159</v>
      </c>
      <c r="AG6" s="5">
        <f>+AF6*(1+(intérêts25!L$34)/(AF$37))</f>
        <v>117134.3536630184</v>
      </c>
      <c r="AI6" s="5">
        <f t="shared" si="10"/>
        <v>117134.3536630184</v>
      </c>
      <c r="AJ6" s="42">
        <f>+AI6*(1+(intérêts25!M$34)/(AI$37))</f>
        <v>117134.3536630184</v>
      </c>
      <c r="AK6" s="41">
        <f t="shared" si="11"/>
        <v>100000</v>
      </c>
      <c r="AL6" s="58">
        <f t="shared" si="12"/>
        <v>17134.353663018395</v>
      </c>
      <c r="AM6" s="64">
        <f>Tableau44[[#This Row],[EP TOTALE]]+Tableau44[[#This Row],[INTERETS]]</f>
        <v>117134.3536630184</v>
      </c>
      <c r="AO6" s="69">
        <v>5</v>
      </c>
      <c r="AP6" s="70" t="s">
        <v>171</v>
      </c>
      <c r="AQ6" s="71">
        <v>100000</v>
      </c>
      <c r="AR6" s="71">
        <v>17134.353663018395</v>
      </c>
      <c r="AS6" s="71">
        <v>117134.3536630184</v>
      </c>
      <c r="AT6" s="71"/>
      <c r="AU6" s="69"/>
    </row>
    <row r="7" spans="1:47">
      <c r="A7" s="5" t="s">
        <v>172</v>
      </c>
      <c r="B7" s="42">
        <v>160000</v>
      </c>
      <c r="C7" s="5">
        <f>B7*(1+(intérêts25!B$34)/(B$37))</f>
        <v>161408.28758714939</v>
      </c>
      <c r="D7" s="42"/>
      <c r="E7" s="5">
        <f t="shared" si="0"/>
        <v>161408.28758714939</v>
      </c>
      <c r="F7" s="5">
        <f>+E7*(1+(intérêts25!C$34)/(E$37))</f>
        <v>162999.1202560192</v>
      </c>
      <c r="G7" s="42"/>
      <c r="H7" s="5">
        <f t="shared" si="1"/>
        <v>162999.1202560192</v>
      </c>
      <c r="I7" s="5">
        <f>+H7*(1+(intérêts25!D$34)/(H$37))</f>
        <v>166781.00666436978</v>
      </c>
      <c r="J7" s="42">
        <v>40000</v>
      </c>
      <c r="K7" s="5">
        <f t="shared" si="2"/>
        <v>206781.00666436978</v>
      </c>
      <c r="L7" s="5">
        <f>+K7*(1+(intérêts25!E$34)/(K$37))</f>
        <v>209810.10690144566</v>
      </c>
      <c r="M7" s="42"/>
      <c r="N7" s="5">
        <f t="shared" si="3"/>
        <v>209810.10690144566</v>
      </c>
      <c r="O7" s="5">
        <f>+N7*(1+(intérêts25!F$34)/(N$37))</f>
        <v>212267.06245045605</v>
      </c>
      <c r="P7" s="42">
        <v>10000</v>
      </c>
      <c r="Q7" s="5">
        <f t="shared" si="4"/>
        <v>222267.06245045605</v>
      </c>
      <c r="R7" s="5">
        <f>+Q7*(1+(intérêts25!G$34)/(Q$37))</f>
        <v>225169.51274740405</v>
      </c>
      <c r="S7" s="42">
        <v>50000</v>
      </c>
      <c r="T7" s="5">
        <f t="shared" si="5"/>
        <v>275169.51274740405</v>
      </c>
      <c r="U7" s="5">
        <f>+T7*(1+(intérêts25!H$34)/(T$37))</f>
        <v>278848.37492755236</v>
      </c>
      <c r="V7" s="42">
        <v>35000</v>
      </c>
      <c r="W7" s="5">
        <f t="shared" si="6"/>
        <v>313848.37492755236</v>
      </c>
      <c r="X7" s="5">
        <f>+W7*(1+(intérêts25!I$34)/(W$37))</f>
        <v>317571.90454456076</v>
      </c>
      <c r="Y7" s="42"/>
      <c r="Z7" s="5">
        <f t="shared" si="7"/>
        <v>317571.90454456076</v>
      </c>
      <c r="AA7" s="5">
        <f>+Z7*(1+(intérêts25!J$34)/(Z$37))</f>
        <v>323406.01473978919</v>
      </c>
      <c r="AB7" s="5">
        <v>50000</v>
      </c>
      <c r="AC7" s="5">
        <f t="shared" si="8"/>
        <v>373406.01473978919</v>
      </c>
      <c r="AD7" s="5">
        <f>+AC7*(1+(intérêts25!K$34)/(AC$37))</f>
        <v>379842.78971643501</v>
      </c>
      <c r="AF7" s="5">
        <f t="shared" si="9"/>
        <v>379842.78971643501</v>
      </c>
      <c r="AG7" s="5">
        <f>+AF7*(1+(intérêts25!L$34)/(AF$37))</f>
        <v>386399.47905695427</v>
      </c>
      <c r="AI7" s="5">
        <f t="shared" si="10"/>
        <v>386399.47905695427</v>
      </c>
      <c r="AJ7" s="42">
        <f>+AI7*(1+(intérêts25!M$34)/(AI$37))</f>
        <v>386399.47905695427</v>
      </c>
      <c r="AK7" s="41">
        <f t="shared" si="11"/>
        <v>345000</v>
      </c>
      <c r="AL7" s="58">
        <f t="shared" si="12"/>
        <v>41399.479056954267</v>
      </c>
      <c r="AM7" s="64">
        <f>Tableau44[[#This Row],[EP TOTALE]]+Tableau44[[#This Row],[INTERETS]]</f>
        <v>386399.47905695427</v>
      </c>
      <c r="AO7" s="69">
        <v>6</v>
      </c>
      <c r="AP7" s="69" t="s">
        <v>172</v>
      </c>
      <c r="AQ7" s="71">
        <v>345000</v>
      </c>
      <c r="AR7" s="71">
        <v>41399.479056954267</v>
      </c>
      <c r="AS7" s="71">
        <v>386399.47905695427</v>
      </c>
      <c r="AT7" s="71"/>
      <c r="AU7" s="69"/>
    </row>
    <row r="8" spans="1:47">
      <c r="A8" s="5" t="s">
        <v>173</v>
      </c>
      <c r="B8" s="42">
        <v>100000</v>
      </c>
      <c r="C8" s="5">
        <f>B8*(1+(intérêts25!B$34)/(B$37))</f>
        <v>100880.17974196837</v>
      </c>
      <c r="D8" s="42"/>
      <c r="E8" s="5">
        <f t="shared" si="0"/>
        <v>100880.17974196837</v>
      </c>
      <c r="F8" s="5">
        <f>+E8*(1+(intérêts25!C$34)/(E$37))</f>
        <v>101874.45016001201</v>
      </c>
      <c r="G8" s="42">
        <v>176100</v>
      </c>
      <c r="H8" s="5">
        <f t="shared" si="1"/>
        <v>277974.450160012</v>
      </c>
      <c r="I8" s="5">
        <f>+H8*(1+(intérêts25!D$34)/(H$37))</f>
        <v>284423.9806438433</v>
      </c>
      <c r="J8" s="42">
        <v>1250000</v>
      </c>
      <c r="K8" s="5">
        <f t="shared" si="2"/>
        <v>1534423.9806438433</v>
      </c>
      <c r="L8" s="5">
        <f>+K8*(1+(intérêts25!E$34)/(K$37))</f>
        <v>1556901.4998247384</v>
      </c>
      <c r="M8" s="42">
        <v>50000</v>
      </c>
      <c r="N8" s="5">
        <f t="shared" si="3"/>
        <v>1606901.4998247384</v>
      </c>
      <c r="O8" s="5">
        <f>+N8*(1+(intérêts25!F$34)/(N$37))</f>
        <v>1625718.9229461232</v>
      </c>
      <c r="P8" s="42">
        <v>130000</v>
      </c>
      <c r="Q8" s="5">
        <f t="shared" si="4"/>
        <v>1755718.9229461232</v>
      </c>
      <c r="R8" s="5">
        <f>+Q8*(1+(intérêts25!G$34)/(Q$37))</f>
        <v>1778645.7878314592</v>
      </c>
      <c r="S8" s="42">
        <v>50000</v>
      </c>
      <c r="T8" s="5">
        <f t="shared" si="5"/>
        <v>1828645.7878314592</v>
      </c>
      <c r="U8" s="5">
        <f>+T8*(1+(intérêts25!H$34)/(T$37))</f>
        <v>1853093.7572397424</v>
      </c>
      <c r="V8" s="42">
        <v>1250000</v>
      </c>
      <c r="W8" s="5">
        <f t="shared" si="6"/>
        <v>3103093.7572397422</v>
      </c>
      <c r="X8" s="5">
        <f>+W8*(1+(intérêts25!I$34)/(W$37))</f>
        <v>3139909.1828799206</v>
      </c>
      <c r="Y8" s="42">
        <v>100000</v>
      </c>
      <c r="Z8" s="5">
        <f t="shared" si="7"/>
        <v>3239909.1828799206</v>
      </c>
      <c r="AA8" s="5">
        <f>+Z8*(1+(intérêts25!J$34)/(Z$37))</f>
        <v>3299429.5211874349</v>
      </c>
      <c r="AB8" s="5">
        <v>100000</v>
      </c>
      <c r="AC8" s="5">
        <f t="shared" si="8"/>
        <v>3399429.5211874349</v>
      </c>
      <c r="AD8" s="5">
        <f>+AC8*(1+(intérêts25!K$34)/(AC$37))</f>
        <v>3458028.9063422205</v>
      </c>
      <c r="AE8" s="5">
        <v>150000</v>
      </c>
      <c r="AF8" s="5">
        <f t="shared" si="9"/>
        <v>3608028.9063422205</v>
      </c>
      <c r="AG8" s="5">
        <f>+AF8*(1+(intérêts25!L$34)/(AF$37))</f>
        <v>3670309.2110128971</v>
      </c>
      <c r="AI8" s="5">
        <f t="shared" si="10"/>
        <v>3670309.2110128971</v>
      </c>
      <c r="AJ8" s="42">
        <f>+AI8*(1+(intérêts25!M$34)/(AI$37))</f>
        <v>3670309.2110128971</v>
      </c>
      <c r="AK8" s="41">
        <f t="shared" si="11"/>
        <v>3356100</v>
      </c>
      <c r="AL8" s="58">
        <f t="shared" si="12"/>
        <v>314209.21101289708</v>
      </c>
      <c r="AM8" s="64">
        <f>Tableau44[[#This Row],[EP TOTALE]]+Tableau44[[#This Row],[INTERETS]]</f>
        <v>3670309.2110128971</v>
      </c>
      <c r="AO8" s="69">
        <v>7</v>
      </c>
      <c r="AP8" s="70" t="s">
        <v>173</v>
      </c>
      <c r="AQ8" s="71">
        <v>3356100</v>
      </c>
      <c r="AR8" s="71">
        <v>314209.21101289708</v>
      </c>
      <c r="AS8" s="71">
        <v>3670309.2110128971</v>
      </c>
      <c r="AT8" s="71"/>
      <c r="AU8" s="69"/>
    </row>
    <row r="9" spans="1:47">
      <c r="A9" s="5" t="s">
        <v>174</v>
      </c>
      <c r="B9" s="42">
        <v>19000</v>
      </c>
      <c r="C9" s="5">
        <f>B9*(1+(intérêts25!B$34)/(B$37))</f>
        <v>19167.234150973989</v>
      </c>
      <c r="D9" s="42">
        <v>81000</v>
      </c>
      <c r="E9" s="5">
        <f t="shared" si="0"/>
        <v>100167.23415097399</v>
      </c>
      <c r="F9" s="5">
        <f>+E9*(1+(intérêts25!C$34)/(E$37))</f>
        <v>101154.47781001886</v>
      </c>
      <c r="G9" s="42"/>
      <c r="H9" s="5">
        <f t="shared" si="1"/>
        <v>101154.47781001886</v>
      </c>
      <c r="I9" s="5">
        <f>+H9*(1+(intérêts25!D$34)/(H$37))</f>
        <v>103501.45210149135</v>
      </c>
      <c r="J9" s="42"/>
      <c r="K9" s="5">
        <f t="shared" si="2"/>
        <v>103501.45210149135</v>
      </c>
      <c r="L9" s="5">
        <f>+K9*(1+(intérêts25!E$34)/(K$37))</f>
        <v>105017.62748991665</v>
      </c>
      <c r="M9" s="42"/>
      <c r="N9" s="5">
        <f t="shared" si="3"/>
        <v>105017.62748991665</v>
      </c>
      <c r="O9" s="5">
        <f>+N9*(1+(intérêts25!F$34)/(N$37))</f>
        <v>106247.42354891422</v>
      </c>
      <c r="P9" s="42"/>
      <c r="Q9" s="5">
        <f t="shared" si="4"/>
        <v>106247.42354891422</v>
      </c>
      <c r="R9" s="5">
        <f>+Q9*(1+(intérêts25!G$34)/(Q$37))</f>
        <v>107634.84399092525</v>
      </c>
      <c r="S9" s="42"/>
      <c r="T9" s="5">
        <f t="shared" si="5"/>
        <v>107634.84399092525</v>
      </c>
      <c r="U9" s="5">
        <f>+T9*(1+(intérêts25!H$34)/(T$37))</f>
        <v>109073.8615364041</v>
      </c>
      <c r="V9" s="42"/>
      <c r="W9" s="5">
        <f t="shared" si="6"/>
        <v>109073.8615364041</v>
      </c>
      <c r="X9" s="5">
        <f>+W9*(1+(intérêts25!I$34)/(W$37))</f>
        <v>110367.92512352967</v>
      </c>
      <c r="Y9" s="42"/>
      <c r="Z9" s="5">
        <f t="shared" si="7"/>
        <v>110367.92512352967</v>
      </c>
      <c r="AA9" s="5">
        <f>+Z9*(1+(intérêts25!J$34)/(Z$37))</f>
        <v>112395.49314190593</v>
      </c>
      <c r="AB9" s="5">
        <v>0</v>
      </c>
      <c r="AC9" s="5">
        <f t="shared" si="8"/>
        <v>112395.49314190593</v>
      </c>
      <c r="AD9" s="5">
        <f>+AC9*(1+(intérêts25!K$34)/(AC$37))</f>
        <v>114332.96728315066</v>
      </c>
      <c r="AF9" s="5">
        <f t="shared" si="9"/>
        <v>114332.96728315066</v>
      </c>
      <c r="AG9" s="5">
        <f>+AF9*(1+(intérêts25!L$34)/(AF$37))</f>
        <v>116306.53573870829</v>
      </c>
      <c r="AI9" s="5">
        <f t="shared" si="10"/>
        <v>116306.53573870829</v>
      </c>
      <c r="AJ9" s="42">
        <f>+AI9*(1+(intérêts25!M$34)/(AI$37))</f>
        <v>116306.53573870829</v>
      </c>
      <c r="AK9" s="41">
        <f t="shared" si="11"/>
        <v>100000</v>
      </c>
      <c r="AL9" s="58">
        <f t="shared" si="12"/>
        <v>16306.535738708291</v>
      </c>
      <c r="AM9" s="64">
        <f>Tableau44[[#This Row],[EP TOTALE]]+Tableau44[[#This Row],[INTERETS]]</f>
        <v>116306.53573870829</v>
      </c>
      <c r="AO9" s="69">
        <v>8</v>
      </c>
      <c r="AP9" s="69" t="s">
        <v>174</v>
      </c>
      <c r="AQ9" s="71">
        <v>100000</v>
      </c>
      <c r="AR9" s="71">
        <v>16306.535738708291</v>
      </c>
      <c r="AS9" s="71">
        <v>116306.53573870829</v>
      </c>
      <c r="AT9" s="71"/>
      <c r="AU9" s="69"/>
    </row>
    <row r="10" spans="1:47">
      <c r="A10" s="5" t="s">
        <v>175</v>
      </c>
      <c r="B10" s="42">
        <v>100000</v>
      </c>
      <c r="C10" s="5">
        <f>B10*(1+(intérêts25!B$34)/(B$37))</f>
        <v>100880.17974196837</v>
      </c>
      <c r="D10" s="42"/>
      <c r="E10" s="5">
        <f t="shared" si="0"/>
        <v>100880.17974196837</v>
      </c>
      <c r="F10" s="5">
        <f>+E10*(1+(intérêts25!C$34)/(E$37))</f>
        <v>101874.45016001201</v>
      </c>
      <c r="G10" s="42"/>
      <c r="H10" s="5">
        <f t="shared" si="1"/>
        <v>101874.45016001201</v>
      </c>
      <c r="I10" s="5">
        <f>+H10*(1+(intérêts25!D$34)/(H$37))</f>
        <v>104238.12916523113</v>
      </c>
      <c r="J10" s="42"/>
      <c r="K10" s="5">
        <f t="shared" si="2"/>
        <v>104238.12916523113</v>
      </c>
      <c r="L10" s="5">
        <f>+K10*(1+(intérêts25!E$34)/(K$37))</f>
        <v>105765.09601223582</v>
      </c>
      <c r="M10" s="42"/>
      <c r="N10" s="5">
        <f t="shared" si="3"/>
        <v>105765.09601223582</v>
      </c>
      <c r="O10" s="5">
        <f>+N10*(1+(intérêts25!F$34)/(N$37))</f>
        <v>107003.64520977731</v>
      </c>
      <c r="P10" s="42"/>
      <c r="Q10" s="5">
        <f t="shared" si="4"/>
        <v>107003.64520977731</v>
      </c>
      <c r="R10" s="5">
        <f>+Q10*(1+(intérêts25!G$34)/(Q$37))</f>
        <v>108400.94069022153</v>
      </c>
      <c r="S10" s="42"/>
      <c r="T10" s="5">
        <f t="shared" si="5"/>
        <v>108400.94069022153</v>
      </c>
      <c r="U10" s="5">
        <f>+T10*(1+(intérêts25!H$34)/(T$37))</f>
        <v>109850.20051924858</v>
      </c>
      <c r="V10" s="42"/>
      <c r="W10" s="5">
        <f t="shared" si="6"/>
        <v>109850.20051924858</v>
      </c>
      <c r="X10" s="5">
        <f>+W10*(1+(intérêts25!I$34)/(W$37))</f>
        <v>111153.47467245124</v>
      </c>
      <c r="Y10" s="42"/>
      <c r="Z10" s="5">
        <f t="shared" si="7"/>
        <v>111153.47467245124</v>
      </c>
      <c r="AA10" s="5">
        <f>+Z10*(1+(intérêts25!J$34)/(Z$37))</f>
        <v>113195.47401351895</v>
      </c>
      <c r="AC10" s="5">
        <f t="shared" si="8"/>
        <v>113195.47401351895</v>
      </c>
      <c r="AD10" s="5">
        <f>+AC10*(1+(intérêts25!K$34)/(AC$37))</f>
        <v>115146.7382295159</v>
      </c>
      <c r="AF10" s="5">
        <f t="shared" si="9"/>
        <v>115146.7382295159</v>
      </c>
      <c r="AG10" s="5">
        <f>+AF10*(1+(intérêts25!L$34)/(AF$37))</f>
        <v>117134.3536630184</v>
      </c>
      <c r="AI10" s="5">
        <f t="shared" si="10"/>
        <v>117134.3536630184</v>
      </c>
      <c r="AJ10" s="42">
        <f>+AI10*(1+(intérêts25!M$34)/(AI$37))</f>
        <v>117134.3536630184</v>
      </c>
      <c r="AK10" s="41">
        <f t="shared" si="11"/>
        <v>100000</v>
      </c>
      <c r="AL10" s="58">
        <f t="shared" si="12"/>
        <v>17134.353663018395</v>
      </c>
      <c r="AM10" s="64">
        <f>Tableau44[[#This Row],[EP TOTALE]]+Tableau44[[#This Row],[INTERETS]]</f>
        <v>117134.3536630184</v>
      </c>
      <c r="AO10" s="69">
        <v>9</v>
      </c>
      <c r="AP10" s="70" t="s">
        <v>175</v>
      </c>
      <c r="AQ10" s="71">
        <v>100000</v>
      </c>
      <c r="AR10" s="71">
        <v>17134.353663018395</v>
      </c>
      <c r="AS10" s="71">
        <v>117134.3536630184</v>
      </c>
      <c r="AT10" s="71"/>
      <c r="AU10" s="69"/>
    </row>
    <row r="11" spans="1:47">
      <c r="A11" s="5" t="s">
        <v>176</v>
      </c>
      <c r="B11" s="42">
        <v>94000</v>
      </c>
      <c r="C11" s="5">
        <f>B11*(1+(intérêts25!B$34)/(B$37))</f>
        <v>94827.368957450264</v>
      </c>
      <c r="D11" s="42"/>
      <c r="E11" s="5">
        <f t="shared" si="0"/>
        <v>94827.368957450264</v>
      </c>
      <c r="F11" s="5">
        <f>+E11*(1+(intérêts25!C$34)/(E$37))</f>
        <v>95761.983150411281</v>
      </c>
      <c r="G11" s="42"/>
      <c r="H11" s="5">
        <f t="shared" si="1"/>
        <v>95761.983150411281</v>
      </c>
      <c r="I11" s="5">
        <f>+H11*(1+(intérêts25!D$34)/(H$37))</f>
        <v>97983.841415317249</v>
      </c>
      <c r="J11" s="42"/>
      <c r="K11" s="5">
        <f t="shared" si="2"/>
        <v>97983.841415317249</v>
      </c>
      <c r="L11" s="5">
        <f>+K11*(1+(intérêts25!E$34)/(K$37))</f>
        <v>99419.190251501655</v>
      </c>
      <c r="M11" s="42"/>
      <c r="N11" s="5">
        <f t="shared" si="3"/>
        <v>99419.190251501655</v>
      </c>
      <c r="O11" s="5">
        <f>+N11*(1+(intérêts25!F$34)/(N$37))</f>
        <v>100583.42649719065</v>
      </c>
      <c r="P11" s="42"/>
      <c r="Q11" s="5">
        <f t="shared" si="4"/>
        <v>100583.42649719065</v>
      </c>
      <c r="R11" s="5">
        <f>+Q11*(1+(intérêts25!G$34)/(Q$37))</f>
        <v>101896.88424880822</v>
      </c>
      <c r="S11" s="42"/>
      <c r="T11" s="5">
        <f t="shared" si="5"/>
        <v>101896.88424880822</v>
      </c>
      <c r="U11" s="5">
        <f>+T11*(1+(intérêts25!H$34)/(T$37))</f>
        <v>103259.18848809364</v>
      </c>
      <c r="V11" s="42"/>
      <c r="W11" s="5">
        <f t="shared" si="6"/>
        <v>103259.18848809364</v>
      </c>
      <c r="X11" s="5">
        <f>+W11*(1+(intérêts25!I$34)/(W$37))</f>
        <v>104484.26619210414</v>
      </c>
      <c r="Y11" s="42"/>
      <c r="Z11" s="5">
        <f t="shared" si="7"/>
        <v>104484.26619210414</v>
      </c>
      <c r="AA11" s="5">
        <f>+Z11*(1+(intérêts25!J$34)/(Z$37))</f>
        <v>106403.74557270779</v>
      </c>
      <c r="AB11" s="5">
        <v>6000</v>
      </c>
      <c r="AC11" s="5">
        <f t="shared" si="8"/>
        <v>112403.74557270779</v>
      </c>
      <c r="AD11" s="5">
        <f>+AC11*(1+(intérêts25!K$34)/(AC$37))</f>
        <v>114341.36196940097</v>
      </c>
      <c r="AF11" s="5">
        <f t="shared" si="9"/>
        <v>114341.36196940097</v>
      </c>
      <c r="AG11" s="5">
        <f>+AF11*(1+(intérêts25!L$34)/(AF$37))</f>
        <v>116315.0753305652</v>
      </c>
      <c r="AI11" s="5">
        <f t="shared" si="10"/>
        <v>116315.0753305652</v>
      </c>
      <c r="AJ11" s="42">
        <f>+AI11*(1+(intérêts25!M$34)/(AI$37))</f>
        <v>116315.0753305652</v>
      </c>
      <c r="AK11" s="41">
        <f t="shared" si="11"/>
        <v>100000</v>
      </c>
      <c r="AL11" s="58">
        <f t="shared" si="12"/>
        <v>16315.075330565203</v>
      </c>
      <c r="AM11" s="64">
        <f>Tableau44[[#This Row],[EP TOTALE]]+Tableau44[[#This Row],[INTERETS]]</f>
        <v>116315.0753305652</v>
      </c>
      <c r="AO11" s="69">
        <v>10</v>
      </c>
      <c r="AP11" s="69" t="s">
        <v>176</v>
      </c>
      <c r="AQ11" s="71">
        <v>100000</v>
      </c>
      <c r="AR11" s="71">
        <v>16315.075330565203</v>
      </c>
      <c r="AS11" s="71">
        <v>116315.0753305652</v>
      </c>
      <c r="AT11" s="71"/>
      <c r="AU11" s="69"/>
    </row>
    <row r="12" spans="1:47">
      <c r="A12" s="5" t="s">
        <v>177</v>
      </c>
      <c r="B12" s="42">
        <v>200000</v>
      </c>
      <c r="C12" s="5">
        <f>B12*(1+(intérêts25!B$34)/(B$37))</f>
        <v>201760.35948393674</v>
      </c>
      <c r="D12" s="42">
        <v>100000</v>
      </c>
      <c r="E12" s="5">
        <f t="shared" si="0"/>
        <v>301760.35948393674</v>
      </c>
      <c r="F12" s="5">
        <f>+E12*(1+(intérêts25!C$34)/(E$37))</f>
        <v>304734.49572695803</v>
      </c>
      <c r="G12" s="42">
        <v>200000</v>
      </c>
      <c r="H12" s="5">
        <f t="shared" si="1"/>
        <v>504734.49572695803</v>
      </c>
      <c r="I12" s="5">
        <f>+H12*(1+(intérêts25!D$34)/(H$37))</f>
        <v>516445.28610556427</v>
      </c>
      <c r="J12" s="42">
        <v>200000</v>
      </c>
      <c r="K12" s="5">
        <f t="shared" si="2"/>
        <v>716445.28610556433</v>
      </c>
      <c r="L12" s="5">
        <f>+K12*(1+(intérêts25!E$34)/(K$37))</f>
        <v>726940.37277238152</v>
      </c>
      <c r="M12" s="42">
        <v>100000</v>
      </c>
      <c r="N12" s="5">
        <f t="shared" si="3"/>
        <v>826940.37277238152</v>
      </c>
      <c r="O12" s="5">
        <f>+N12*(1+(intérêts25!F$34)/(N$37))</f>
        <v>836624.15668341203</v>
      </c>
      <c r="P12" s="42">
        <v>100000</v>
      </c>
      <c r="Q12" s="5">
        <f t="shared" si="4"/>
        <v>936624.15668341203</v>
      </c>
      <c r="R12" s="5">
        <f>+Q12*(1+(intérêts25!G$34)/(Q$37))</f>
        <v>948854.961516676</v>
      </c>
      <c r="S12" s="42">
        <v>100000</v>
      </c>
      <c r="T12" s="5">
        <f t="shared" si="5"/>
        <v>1048854.961516676</v>
      </c>
      <c r="U12" s="5">
        <f>+T12*(1+(intérêts25!H$34)/(T$37))</f>
        <v>1062877.5645727301</v>
      </c>
      <c r="V12" s="42">
        <v>100000</v>
      </c>
      <c r="W12" s="5">
        <f t="shared" si="6"/>
        <v>1162877.5645727301</v>
      </c>
      <c r="X12" s="5">
        <f>+W12*(1+(intérêts25!I$34)/(W$37))</f>
        <v>1176674.064406896</v>
      </c>
      <c r="Y12" s="42">
        <v>100000</v>
      </c>
      <c r="Z12" s="5">
        <f t="shared" si="7"/>
        <v>1276674.064406896</v>
      </c>
      <c r="AA12" s="5">
        <f>+Z12*(1+(intérêts25!J$34)/(Z$37))</f>
        <v>1300127.8305258532</v>
      </c>
      <c r="AB12" s="5">
        <v>100000</v>
      </c>
      <c r="AC12" s="5">
        <f t="shared" si="8"/>
        <v>1400127.8305258532</v>
      </c>
      <c r="AD12" s="5">
        <f>+AC12*(1+(intérêts25!K$34)/(AC$37))</f>
        <v>1424263.2419222512</v>
      </c>
      <c r="AE12" s="5">
        <v>100000</v>
      </c>
      <c r="AF12" s="5">
        <f t="shared" si="9"/>
        <v>1524263.2419222512</v>
      </c>
      <c r="AG12" s="5">
        <f>+AF12*(1+(intérêts25!L$34)/(AF$37))</f>
        <v>1550574.4444013555</v>
      </c>
      <c r="AI12" s="5">
        <f t="shared" si="10"/>
        <v>1550574.4444013555</v>
      </c>
      <c r="AJ12" s="42">
        <f>+AI12*(1+(intérêts25!M$34)/(AI$37))</f>
        <v>1550574.4444013555</v>
      </c>
      <c r="AK12" s="41">
        <f t="shared" si="11"/>
        <v>1400000</v>
      </c>
      <c r="AL12" s="58">
        <f t="shared" si="12"/>
        <v>150574.44440135546</v>
      </c>
      <c r="AM12" s="64">
        <f>Tableau44[[#This Row],[EP TOTALE]]+Tableau44[[#This Row],[INTERETS]]</f>
        <v>1550574.4444013555</v>
      </c>
      <c r="AO12" s="69">
        <v>11</v>
      </c>
      <c r="AP12" s="70" t="s">
        <v>177</v>
      </c>
      <c r="AQ12" s="71">
        <v>1400000</v>
      </c>
      <c r="AR12" s="71">
        <v>150574.44440135546</v>
      </c>
      <c r="AS12" s="71">
        <v>1550574.4444013555</v>
      </c>
      <c r="AT12" s="71"/>
      <c r="AU12" s="69"/>
    </row>
    <row r="13" spans="1:47">
      <c r="A13" s="5" t="s">
        <v>198</v>
      </c>
      <c r="B13" s="42">
        <v>100000</v>
      </c>
      <c r="C13" s="5">
        <f>B13*(1+(intérêts25!B$34)/(B$37))</f>
        <v>100880.17974196837</v>
      </c>
      <c r="D13" s="42"/>
      <c r="E13" s="5">
        <f t="shared" si="0"/>
        <v>100880.17974196837</v>
      </c>
      <c r="F13" s="5">
        <f>+E13*(1+(intérêts25!C$34)/(E$37))</f>
        <v>101874.45016001201</v>
      </c>
      <c r="G13" s="42"/>
      <c r="H13" s="5">
        <f t="shared" si="1"/>
        <v>101874.45016001201</v>
      </c>
      <c r="I13" s="5">
        <f>+H13*(1+(intérêts25!D$34)/(H$37))</f>
        <v>104238.12916523113</v>
      </c>
      <c r="J13" s="42">
        <v>2000</v>
      </c>
      <c r="K13" s="5">
        <f t="shared" si="2"/>
        <v>106238.12916523113</v>
      </c>
      <c r="L13" s="5">
        <f>+K13*(1+(intérêts25!E$34)/(K$37))</f>
        <v>107794.39367632924</v>
      </c>
      <c r="M13" s="42"/>
      <c r="N13" s="5">
        <f t="shared" si="3"/>
        <v>107794.39367632924</v>
      </c>
      <c r="O13" s="5">
        <f>+N13*(1+(intérêts25!F$34)/(N$37))</f>
        <v>109056.70671551792</v>
      </c>
      <c r="P13" s="42"/>
      <c r="Q13" s="5">
        <f t="shared" si="4"/>
        <v>109056.70671551792</v>
      </c>
      <c r="R13" s="5">
        <f>+Q13*(1+(intérêts25!G$34)/(Q$37))</f>
        <v>110480.81187667369</v>
      </c>
      <c r="S13" s="42"/>
      <c r="T13" s="5">
        <f t="shared" si="5"/>
        <v>110480.81187667369</v>
      </c>
      <c r="U13" s="5">
        <f>+T13*(1+(intérêts25!H$34)/(T$37))</f>
        <v>111957.87841790159</v>
      </c>
      <c r="V13" s="42">
        <v>5000</v>
      </c>
      <c r="W13" s="5">
        <f t="shared" si="6"/>
        <v>116957.87841790159</v>
      </c>
      <c r="X13" s="5">
        <f>+W13*(1+(intérêts25!I$34)/(W$37))</f>
        <v>118345.47879764566</v>
      </c>
      <c r="Y13" s="42"/>
      <c r="Z13" s="5">
        <f t="shared" si="7"/>
        <v>118345.47879764566</v>
      </c>
      <c r="AA13" s="5">
        <f>+Z13*(1+(intérêts25!J$34)/(Z$37))</f>
        <v>120519.60237259702</v>
      </c>
      <c r="AC13" s="5">
        <f t="shared" si="8"/>
        <v>120519.60237259702</v>
      </c>
      <c r="AD13" s="5">
        <f>+AC13*(1+(intérêts25!K$34)/(AC$37))</f>
        <v>122597.1199543313</v>
      </c>
      <c r="AE13" s="5">
        <v>18000</v>
      </c>
      <c r="AF13" s="5">
        <f t="shared" si="9"/>
        <v>140597.11995433131</v>
      </c>
      <c r="AG13" s="5">
        <f>+AF13*(1+(intérêts25!L$34)/(AF$37))</f>
        <v>143024.04936478677</v>
      </c>
      <c r="AI13" s="5">
        <f t="shared" si="10"/>
        <v>143024.04936478677</v>
      </c>
      <c r="AJ13" s="42">
        <f>+AI13*(1+(intérêts25!M$34)/(AI$37))</f>
        <v>143024.04936478677</v>
      </c>
      <c r="AK13" s="41">
        <f t="shared" si="11"/>
        <v>125000</v>
      </c>
      <c r="AL13" s="58">
        <f t="shared" si="12"/>
        <v>18024.04936478677</v>
      </c>
      <c r="AM13" s="64">
        <f>Tableau44[[#This Row],[EP TOTALE]]+Tableau44[[#This Row],[INTERETS]]</f>
        <v>143024.04936478677</v>
      </c>
      <c r="AO13" s="69">
        <v>12</v>
      </c>
      <c r="AP13" s="69" t="s">
        <v>198</v>
      </c>
      <c r="AQ13" s="71">
        <v>125000</v>
      </c>
      <c r="AR13" s="71">
        <v>18024.04936478677</v>
      </c>
      <c r="AS13" s="71">
        <v>143024.04936478677</v>
      </c>
      <c r="AT13" s="71"/>
      <c r="AU13" s="69"/>
    </row>
    <row r="14" spans="1:47">
      <c r="A14" s="5" t="s">
        <v>179</v>
      </c>
      <c r="B14" s="42">
        <v>94000</v>
      </c>
      <c r="C14" s="5">
        <f>B14*(1+(intérêts25!B$34)/(B$37))</f>
        <v>94827.368957450264</v>
      </c>
      <c r="D14" s="42"/>
      <c r="E14" s="5">
        <f t="shared" si="0"/>
        <v>94827.368957450264</v>
      </c>
      <c r="F14" s="5">
        <f>+E14*(1+(intérêts25!C$34)/(E$37))</f>
        <v>95761.983150411281</v>
      </c>
      <c r="G14" s="42"/>
      <c r="H14" s="5">
        <f t="shared" si="1"/>
        <v>95761.983150411281</v>
      </c>
      <c r="I14" s="5">
        <f>+H14*(1+(intérêts25!D$34)/(H$37))</f>
        <v>97983.841415317249</v>
      </c>
      <c r="J14" s="42">
        <v>38000</v>
      </c>
      <c r="K14" s="5">
        <f t="shared" si="2"/>
        <v>135983.84141531726</v>
      </c>
      <c r="L14" s="5">
        <f>+K14*(1+(intérêts25!E$34)/(K$37))</f>
        <v>137975.84586927664</v>
      </c>
      <c r="M14" s="42"/>
      <c r="N14" s="5">
        <f t="shared" si="3"/>
        <v>137975.84586927664</v>
      </c>
      <c r="O14" s="5">
        <f>+N14*(1+(intérêts25!F$34)/(N$37))</f>
        <v>139591.59510626245</v>
      </c>
      <c r="P14" s="42"/>
      <c r="Q14" s="5">
        <f t="shared" si="4"/>
        <v>139591.59510626245</v>
      </c>
      <c r="R14" s="5">
        <f>+Q14*(1+(intérêts25!G$34)/(Q$37))</f>
        <v>141414.43679139935</v>
      </c>
      <c r="S14" s="42"/>
      <c r="T14" s="5">
        <f t="shared" si="5"/>
        <v>141414.43679139935</v>
      </c>
      <c r="U14" s="5">
        <f>+T14*(1+(intérêts25!H$34)/(T$37))</f>
        <v>143305.0685625012</v>
      </c>
      <c r="V14" s="42"/>
      <c r="W14" s="5">
        <f t="shared" si="6"/>
        <v>143305.0685625012</v>
      </c>
      <c r="X14" s="5">
        <f>+W14*(1+(intérêts25!I$34)/(W$37))</f>
        <v>145005.25473419341</v>
      </c>
      <c r="Y14" s="42"/>
      <c r="Z14" s="5">
        <f t="shared" si="7"/>
        <v>145005.25473419341</v>
      </c>
      <c r="AA14" s="5">
        <f>+Z14*(1+(intérêts25!J$34)/(Z$37))</f>
        <v>147669.14477893678</v>
      </c>
      <c r="AC14" s="5">
        <f t="shared" si="8"/>
        <v>147669.14477893678</v>
      </c>
      <c r="AD14" s="5">
        <f>+AC14*(1+(intérêts25!K$34)/(AC$37))</f>
        <v>150214.66632496257</v>
      </c>
      <c r="AF14" s="5">
        <f t="shared" si="9"/>
        <v>150214.66632496257</v>
      </c>
      <c r="AG14" s="5">
        <f>+AF14*(1+(intérêts25!L$34)/(AF$37))</f>
        <v>152807.60984830232</v>
      </c>
      <c r="AI14" s="5">
        <f t="shared" si="10"/>
        <v>152807.60984830232</v>
      </c>
      <c r="AJ14" s="42">
        <f>+AI14*(1+(intérêts25!M$34)/(AI$37))</f>
        <v>152807.60984830232</v>
      </c>
      <c r="AK14" s="41">
        <f t="shared" si="11"/>
        <v>132000</v>
      </c>
      <c r="AL14" s="58">
        <f t="shared" si="12"/>
        <v>20807.609848302323</v>
      </c>
      <c r="AM14" s="64">
        <f>Tableau44[[#This Row],[EP TOTALE]]+Tableau44[[#This Row],[INTERETS]]</f>
        <v>152807.60984830232</v>
      </c>
      <c r="AO14" s="69">
        <v>13</v>
      </c>
      <c r="AP14" s="70" t="s">
        <v>179</v>
      </c>
      <c r="AQ14" s="71">
        <v>132000</v>
      </c>
      <c r="AR14" s="71">
        <v>20807.609848302323</v>
      </c>
      <c r="AS14" s="71">
        <v>152807.60984830232</v>
      </c>
      <c r="AT14" s="71"/>
      <c r="AU14" s="69"/>
    </row>
    <row r="15" spans="1:47">
      <c r="A15" s="5" t="s">
        <v>180</v>
      </c>
      <c r="B15" s="42">
        <v>0</v>
      </c>
      <c r="C15" s="5">
        <f>B15*(1+(intérêts25!B$34)/(B$37))</f>
        <v>0</v>
      </c>
      <c r="D15" s="42">
        <v>10000</v>
      </c>
      <c r="E15" s="5">
        <f t="shared" si="0"/>
        <v>10000</v>
      </c>
      <c r="F15" s="5">
        <f>+E15*(1+(intérêts25!C$34)/(E$37))</f>
        <v>10098.559540693404</v>
      </c>
      <c r="G15" s="42">
        <v>20000</v>
      </c>
      <c r="H15" s="5">
        <f t="shared" si="1"/>
        <v>30098.559540693404</v>
      </c>
      <c r="I15" s="5">
        <f>+H15*(1+(intérêts25!D$34)/(H$37))</f>
        <v>30796.902777510204</v>
      </c>
      <c r="J15" s="42">
        <v>50000</v>
      </c>
      <c r="K15" s="5">
        <f t="shared" si="2"/>
        <v>80796.9027775102</v>
      </c>
      <c r="L15" s="5">
        <f>+K15*(1+(intérêts25!E$34)/(K$37))</f>
        <v>81980.483036192265</v>
      </c>
      <c r="M15" s="42">
        <v>100000</v>
      </c>
      <c r="N15" s="5">
        <f t="shared" si="3"/>
        <v>181980.48303619225</v>
      </c>
      <c r="O15" s="5">
        <f>+N15*(1+(intérêts25!F$34)/(N$37))</f>
        <v>184111.5431848694</v>
      </c>
      <c r="P15" s="42"/>
      <c r="Q15" s="5">
        <f t="shared" si="4"/>
        <v>184111.5431848694</v>
      </c>
      <c r="R15" s="5">
        <f>+Q15*(1+(intérêts25!G$34)/(Q$37))</f>
        <v>186515.74377715279</v>
      </c>
      <c r="S15" s="42"/>
      <c r="T15" s="5">
        <f t="shared" si="5"/>
        <v>186515.74377715279</v>
      </c>
      <c r="U15" s="5">
        <f>+T15*(1+(intérêts25!H$34)/(T$37))</f>
        <v>189009.35474783427</v>
      </c>
      <c r="V15" s="42"/>
      <c r="W15" s="5">
        <f t="shared" si="6"/>
        <v>189009.35474783427</v>
      </c>
      <c r="X15" s="5">
        <f>+W15*(1+(intérêts25!I$34)/(W$37))</f>
        <v>191251.78130319773</v>
      </c>
      <c r="Y15" s="42"/>
      <c r="Z15" s="5">
        <f t="shared" si="7"/>
        <v>191251.78130319773</v>
      </c>
      <c r="AA15" s="5">
        <f>+Z15*(1+(intérêts25!J$34)/(Z$37))</f>
        <v>194765.26581234144</v>
      </c>
      <c r="AC15" s="5">
        <f t="shared" si="8"/>
        <v>194765.26581234144</v>
      </c>
      <c r="AD15" s="5">
        <f>+AC15*(1+(intérêts25!K$34)/(AC$37))</f>
        <v>198122.6305569192</v>
      </c>
      <c r="AF15" s="5">
        <f t="shared" si="9"/>
        <v>198122.6305569192</v>
      </c>
      <c r="AG15" s="5">
        <f>+AF15*(1+(intérêts25!L$34)/(AF$37))</f>
        <v>201542.54157025699</v>
      </c>
      <c r="AI15" s="5">
        <f t="shared" si="10"/>
        <v>201542.54157025699</v>
      </c>
      <c r="AJ15" s="42">
        <f>+AI15*(1+(intérêts25!M$34)/(AI$37))</f>
        <v>201542.54157025699</v>
      </c>
      <c r="AK15" s="41">
        <f t="shared" si="11"/>
        <v>180000</v>
      </c>
      <c r="AL15" s="58">
        <f t="shared" si="12"/>
        <v>21542.541570256988</v>
      </c>
      <c r="AM15" s="64">
        <f>Tableau44[[#This Row],[EP TOTALE]]+Tableau44[[#This Row],[INTERETS]]</f>
        <v>201542.54157025699</v>
      </c>
      <c r="AO15" s="69">
        <v>14</v>
      </c>
      <c r="AP15" s="69" t="s">
        <v>180</v>
      </c>
      <c r="AQ15" s="71">
        <v>180000</v>
      </c>
      <c r="AR15" s="71">
        <v>21542.541570256988</v>
      </c>
      <c r="AS15" s="71">
        <v>201542.54157025699</v>
      </c>
      <c r="AT15" s="71"/>
      <c r="AU15" s="69"/>
    </row>
    <row r="16" spans="1:47">
      <c r="A16" s="5" t="s">
        <v>181</v>
      </c>
      <c r="B16" s="42">
        <v>52000</v>
      </c>
      <c r="C16" s="5">
        <f>B16*(1+(intérêts25!B$34)/(B$37))</f>
        <v>52457.693465823548</v>
      </c>
      <c r="D16" s="42"/>
      <c r="E16" s="5">
        <f t="shared" si="0"/>
        <v>52457.693465823548</v>
      </c>
      <c r="F16" s="5">
        <f>+E16*(1+(intérêts25!C$34)/(E$37))</f>
        <v>52974.714083206243</v>
      </c>
      <c r="G16" s="42">
        <v>20000</v>
      </c>
      <c r="H16" s="5">
        <f t="shared" si="1"/>
        <v>72974.714083206243</v>
      </c>
      <c r="I16" s="5">
        <f>+H16*(1+(intérêts25!D$34)/(H$37))</f>
        <v>74667.864812554166</v>
      </c>
      <c r="J16" s="42">
        <v>10000</v>
      </c>
      <c r="K16" s="5">
        <f t="shared" si="2"/>
        <v>84667.864812554166</v>
      </c>
      <c r="L16" s="5">
        <f>+K16*(1+(intérêts25!E$34)/(K$37))</f>
        <v>85908.150143946783</v>
      </c>
      <c r="M16" s="42"/>
      <c r="N16" s="5">
        <f t="shared" si="3"/>
        <v>85908.150143946783</v>
      </c>
      <c r="O16" s="5">
        <f>+N16*(1+(intérêts25!F$34)/(N$37))</f>
        <v>86914.167009952842</v>
      </c>
      <c r="P16" s="42"/>
      <c r="Q16" s="5">
        <f t="shared" si="4"/>
        <v>86914.167009952842</v>
      </c>
      <c r="R16" s="5">
        <f>+Q16*(1+(intérêts25!G$34)/(Q$37))</f>
        <v>88049.126221029175</v>
      </c>
      <c r="S16" s="42"/>
      <c r="T16" s="5">
        <f t="shared" si="5"/>
        <v>88049.126221029175</v>
      </c>
      <c r="U16" s="5">
        <f>+T16*(1+(intérêts25!H$34)/(T$37))</f>
        <v>89226.293695781365</v>
      </c>
      <c r="V16" s="42"/>
      <c r="W16" s="5">
        <f t="shared" si="6"/>
        <v>89226.293695781365</v>
      </c>
      <c r="X16" s="5">
        <f>+W16*(1+(intérêts25!I$34)/(W$37))</f>
        <v>90284.883682964908</v>
      </c>
      <c r="Y16" s="42"/>
      <c r="Z16" s="5">
        <f t="shared" si="7"/>
        <v>90284.883682964908</v>
      </c>
      <c r="AA16" s="5">
        <f>+Z16*(1+(intérêts25!J$34)/(Z$37))</f>
        <v>91943.50635339666</v>
      </c>
      <c r="AB16" s="5">
        <v>7000</v>
      </c>
      <c r="AC16" s="5">
        <f t="shared" si="8"/>
        <v>98943.50635339666</v>
      </c>
      <c r="AD16" s="5">
        <f>+AC16*(1+(intérêts25!K$34)/(AC$37))</f>
        <v>100649.0950709243</v>
      </c>
      <c r="AF16" s="5">
        <f t="shared" si="9"/>
        <v>100649.0950709243</v>
      </c>
      <c r="AG16" s="5">
        <f>+AF16*(1+(intérêts25!L$34)/(AF$37))</f>
        <v>102386.458176532</v>
      </c>
      <c r="AI16" s="5">
        <f t="shared" si="10"/>
        <v>102386.458176532</v>
      </c>
      <c r="AJ16" s="42">
        <f>+AI16*(1+(intérêts25!M$34)/(AI$37))</f>
        <v>102386.458176532</v>
      </c>
      <c r="AK16" s="41">
        <f t="shared" si="11"/>
        <v>89000</v>
      </c>
      <c r="AL16" s="58">
        <f t="shared" si="12"/>
        <v>13386.458176532004</v>
      </c>
      <c r="AM16" s="64">
        <f>Tableau44[[#This Row],[EP TOTALE]]+Tableau44[[#This Row],[INTERETS]]</f>
        <v>102386.458176532</v>
      </c>
      <c r="AO16" s="69">
        <v>15</v>
      </c>
      <c r="AP16" s="70" t="s">
        <v>181</v>
      </c>
      <c r="AQ16" s="71">
        <v>89000</v>
      </c>
      <c r="AR16" s="71">
        <v>13386.458176532004</v>
      </c>
      <c r="AS16" s="71">
        <v>102386.458176532</v>
      </c>
      <c r="AT16" s="71"/>
      <c r="AU16" s="69"/>
    </row>
    <row r="17" spans="1:47">
      <c r="A17" s="5" t="s">
        <v>182</v>
      </c>
      <c r="B17" s="42">
        <v>33000</v>
      </c>
      <c r="C17" s="5">
        <f>B17*(1+(intérêts25!B$34)/(B$37))</f>
        <v>33290.459314849562</v>
      </c>
      <c r="D17" s="42">
        <v>1000000</v>
      </c>
      <c r="E17" s="5">
        <f t="shared" si="0"/>
        <v>1033290.4593148496</v>
      </c>
      <c r="F17" s="5">
        <f>+E17*(1+(intérêts25!C$34)/(E$37))</f>
        <v>1043474.5226221443</v>
      </c>
      <c r="G17" s="42">
        <v>500000</v>
      </c>
      <c r="H17" s="5">
        <f t="shared" si="1"/>
        <v>1543474.5226221443</v>
      </c>
      <c r="I17" s="5">
        <f>+H17*(1+(intérêts25!D$34)/(H$37))</f>
        <v>1579286.0368779984</v>
      </c>
      <c r="J17" s="42"/>
      <c r="K17" s="5">
        <f t="shared" si="2"/>
        <v>1579286.0368779984</v>
      </c>
      <c r="L17" s="5">
        <f>+K17*(1+(intérêts25!E$34)/(K$37))</f>
        <v>1602420.7327859376</v>
      </c>
      <c r="M17" s="42">
        <v>500000</v>
      </c>
      <c r="N17" s="5">
        <f t="shared" si="3"/>
        <v>2102420.7327859374</v>
      </c>
      <c r="O17" s="5">
        <f>+N17*(1+(intérêts25!F$34)/(N$37))</f>
        <v>2127040.8731693523</v>
      </c>
      <c r="P17" s="42">
        <v>500000</v>
      </c>
      <c r="Q17" s="5">
        <f t="shared" si="4"/>
        <v>2627040.8731693523</v>
      </c>
      <c r="R17" s="5">
        <f>+Q17*(1+(intérêts25!G$34)/(Q$37))</f>
        <v>2661345.80111667</v>
      </c>
      <c r="S17" s="42">
        <v>500000</v>
      </c>
      <c r="T17" s="5">
        <f t="shared" si="5"/>
        <v>3161345.80111667</v>
      </c>
      <c r="U17" s="5">
        <f>+T17*(1+(intérêts25!H$34)/(T$37))</f>
        <v>3203611.2228560867</v>
      </c>
      <c r="V17" s="42">
        <v>500000</v>
      </c>
      <c r="W17" s="5">
        <f t="shared" si="6"/>
        <v>3703611.2228560867</v>
      </c>
      <c r="X17" s="5">
        <f>+W17*(1+(intérêts25!I$34)/(W$37))</f>
        <v>3747551.2498878432</v>
      </c>
      <c r="Y17" s="42">
        <v>500000</v>
      </c>
      <c r="Z17" s="5">
        <f t="shared" si="7"/>
        <v>4247551.2498878427</v>
      </c>
      <c r="AA17" s="5">
        <f>+Z17*(1+(intérêts25!J$34)/(Z$37))</f>
        <v>4325582.9702544929</v>
      </c>
      <c r="AB17" s="5">
        <v>500000</v>
      </c>
      <c r="AC17" s="5">
        <f t="shared" si="8"/>
        <v>4825582.9702544929</v>
      </c>
      <c r="AD17" s="5">
        <f>+AC17*(1+(intérêts25!K$34)/(AC$37))</f>
        <v>4908766.3965640767</v>
      </c>
      <c r="AE17" s="5">
        <v>500000</v>
      </c>
      <c r="AF17" s="5">
        <f t="shared" si="9"/>
        <v>5408766.3965640767</v>
      </c>
      <c r="AG17" s="5">
        <f>+AF17*(1+(intérêts25!L$34)/(AF$37))</f>
        <v>5502130.2879892243</v>
      </c>
      <c r="AI17" s="5">
        <f t="shared" si="10"/>
        <v>5502130.2879892243</v>
      </c>
      <c r="AJ17" s="42">
        <f>+AI17*(1+(intérêts25!M$34)/(AI$37))</f>
        <v>5502130.2879892243</v>
      </c>
      <c r="AK17" s="41">
        <f t="shared" si="11"/>
        <v>5033000</v>
      </c>
      <c r="AL17" s="58">
        <f t="shared" si="12"/>
        <v>469130.28798922431</v>
      </c>
      <c r="AM17" s="64">
        <f>Tableau44[[#This Row],[EP TOTALE]]+Tableau44[[#This Row],[INTERETS]]</f>
        <v>5502130.2879892243</v>
      </c>
      <c r="AO17" s="69">
        <v>16</v>
      </c>
      <c r="AP17" s="69" t="s">
        <v>182</v>
      </c>
      <c r="AQ17" s="71">
        <v>5033000</v>
      </c>
      <c r="AR17" s="71">
        <v>469130.28798922431</v>
      </c>
      <c r="AS17" s="71">
        <v>5502130.2879892243</v>
      </c>
      <c r="AT17" s="71"/>
      <c r="AU17" s="69"/>
    </row>
    <row r="18" spans="1:47">
      <c r="A18" s="5" t="s">
        <v>183</v>
      </c>
      <c r="B18" s="42">
        <v>200000</v>
      </c>
      <c r="C18" s="5">
        <f>B18*(1+(intérêts25!B$34)/(B$37))</f>
        <v>201760.35948393674</v>
      </c>
      <c r="D18" s="42">
        <v>100000</v>
      </c>
      <c r="E18" s="5">
        <f t="shared" si="0"/>
        <v>301760.35948393674</v>
      </c>
      <c r="F18" s="5">
        <f>+E18*(1+(intérêts25!C$34)/(E$37))</f>
        <v>304734.49572695803</v>
      </c>
      <c r="G18" s="42"/>
      <c r="H18" s="5">
        <f t="shared" si="1"/>
        <v>304734.49572695803</v>
      </c>
      <c r="I18" s="5">
        <f>+H18*(1+(intérêts25!D$34)/(H$37))</f>
        <v>311804.90963922453</v>
      </c>
      <c r="J18" s="42"/>
      <c r="K18" s="5">
        <f t="shared" si="2"/>
        <v>311804.90963922453</v>
      </c>
      <c r="L18" s="5">
        <f>+K18*(1+(intérêts25!E$34)/(K$37))</f>
        <v>316372.48739186896</v>
      </c>
      <c r="M18" s="42">
        <v>100000</v>
      </c>
      <c r="N18" s="5">
        <f t="shared" si="3"/>
        <v>416372.48739186896</v>
      </c>
      <c r="O18" s="5">
        <f>+N18*(1+(intérêts25!F$34)/(N$37))</f>
        <v>421248.36638769467</v>
      </c>
      <c r="P18" s="42"/>
      <c r="Q18" s="5">
        <f t="shared" si="4"/>
        <v>421248.36638769467</v>
      </c>
      <c r="R18" s="5">
        <f>+Q18*(1+(intérêts25!G$34)/(Q$37))</f>
        <v>426749.19243286434</v>
      </c>
      <c r="S18" s="42">
        <v>100000</v>
      </c>
      <c r="T18" s="5">
        <f t="shared" si="5"/>
        <v>526749.19243286434</v>
      </c>
      <c r="U18" s="5">
        <f>+T18*(1+(intérêts25!H$34)/(T$37))</f>
        <v>533791.53394489014</v>
      </c>
      <c r="V18" s="42"/>
      <c r="W18" s="5">
        <f t="shared" si="6"/>
        <v>533791.53394489014</v>
      </c>
      <c r="X18" s="5">
        <f>+W18*(1+(intérêts25!I$34)/(W$37))</f>
        <v>540124.49197410082</v>
      </c>
      <c r="Y18" s="42"/>
      <c r="Z18" s="5">
        <f t="shared" si="7"/>
        <v>540124.49197410082</v>
      </c>
      <c r="AA18" s="5">
        <f>+Z18*(1+(intérêts25!J$34)/(Z$37))</f>
        <v>550047.11346619355</v>
      </c>
      <c r="AC18" s="5">
        <f t="shared" si="8"/>
        <v>550047.11346619355</v>
      </c>
      <c r="AD18" s="5">
        <f>+AC18*(1+(intérêts25!K$34)/(AC$37))</f>
        <v>559528.82869352517</v>
      </c>
      <c r="AE18" s="5">
        <v>18000</v>
      </c>
      <c r="AF18" s="5">
        <f t="shared" si="9"/>
        <v>577528.82869352517</v>
      </c>
      <c r="AG18" s="5">
        <f>+AF18*(1+(intérêts25!L$34)/(AF$37))</f>
        <v>587497.89278386708</v>
      </c>
      <c r="AI18" s="5">
        <f t="shared" si="10"/>
        <v>587497.89278386708</v>
      </c>
      <c r="AJ18" s="42">
        <f>+AI18*(1+(intérêts25!M$34)/(AI$37))</f>
        <v>587497.89278386708</v>
      </c>
      <c r="AK18" s="41">
        <f t="shared" si="11"/>
        <v>518000</v>
      </c>
      <c r="AL18" s="58">
        <f t="shared" si="12"/>
        <v>69497.892783867079</v>
      </c>
      <c r="AM18" s="64">
        <f>Tableau44[[#This Row],[EP TOTALE]]+Tableau44[[#This Row],[INTERETS]]</f>
        <v>587497.89278386708</v>
      </c>
      <c r="AO18" s="69">
        <v>17</v>
      </c>
      <c r="AP18" s="70" t="s">
        <v>183</v>
      </c>
      <c r="AQ18" s="71">
        <v>518000</v>
      </c>
      <c r="AR18" s="71">
        <v>69497.892783867079</v>
      </c>
      <c r="AS18" s="71">
        <v>587497.89278386708</v>
      </c>
      <c r="AT18" s="71"/>
      <c r="AU18" s="69"/>
    </row>
    <row r="19" spans="1:47">
      <c r="A19" s="5" t="s">
        <v>184</v>
      </c>
      <c r="B19" s="42">
        <v>40000</v>
      </c>
      <c r="C19" s="5">
        <f>B19*(1+(intérêts25!B$34)/(B$37))</f>
        <v>40352.071896787347</v>
      </c>
      <c r="D19" s="42"/>
      <c r="E19" s="5">
        <f t="shared" si="0"/>
        <v>40352.071896787347</v>
      </c>
      <c r="F19" s="5">
        <f>+E19*(1+(intérêts25!C$34)/(E$37))</f>
        <v>40749.780064004801</v>
      </c>
      <c r="G19" s="42"/>
      <c r="H19" s="5">
        <f t="shared" si="1"/>
        <v>40749.780064004801</v>
      </c>
      <c r="I19" s="5">
        <f>+H19*(1+(intérêts25!D$34)/(H$37))</f>
        <v>41695.251666092445</v>
      </c>
      <c r="J19" s="42"/>
      <c r="K19" s="5">
        <f t="shared" si="2"/>
        <v>41695.251666092445</v>
      </c>
      <c r="L19" s="5">
        <f>+K19*(1+(intérêts25!E$34)/(K$37))</f>
        <v>42306.038404894316</v>
      </c>
      <c r="M19" s="42"/>
      <c r="N19" s="5">
        <f t="shared" si="3"/>
        <v>42306.038404894316</v>
      </c>
      <c r="O19" s="5">
        <f>+N19*(1+(intérêts25!F$34)/(N$37))</f>
        <v>42801.458083910911</v>
      </c>
      <c r="P19" s="42">
        <v>88000</v>
      </c>
      <c r="Q19" s="5">
        <f t="shared" si="4"/>
        <v>130801.45808391091</v>
      </c>
      <c r="R19" s="5">
        <f>+Q19*(1+(intérêts25!G$34)/(Q$37))</f>
        <v>132509.5147193447</v>
      </c>
      <c r="S19" s="42"/>
      <c r="T19" s="5">
        <f t="shared" si="5"/>
        <v>132509.5147193447</v>
      </c>
      <c r="U19" s="5">
        <f>+T19*(1+(intérêts25!H$34)/(T$37))</f>
        <v>134281.09267267087</v>
      </c>
      <c r="V19" s="42"/>
      <c r="W19" s="5">
        <f t="shared" si="6"/>
        <v>134281.09267267087</v>
      </c>
      <c r="X19" s="5">
        <f>+W19*(1+(intérêts25!I$34)/(W$37))</f>
        <v>135874.21746003471</v>
      </c>
      <c r="Y19" s="42"/>
      <c r="Z19" s="5">
        <f t="shared" si="7"/>
        <v>135874.21746003471</v>
      </c>
      <c r="AA19" s="5">
        <f>+Z19*(1+(intérêts25!J$34)/(Z$37))</f>
        <v>138370.36131283903</v>
      </c>
      <c r="AC19" s="5">
        <f t="shared" si="8"/>
        <v>138370.36131283903</v>
      </c>
      <c r="AD19" s="5">
        <f>+AC19*(1+(intérêts25!K$34)/(AC$37))</f>
        <v>140755.59037731617</v>
      </c>
      <c r="AF19" s="5">
        <f t="shared" si="9"/>
        <v>140755.59037731617</v>
      </c>
      <c r="AG19" s="5">
        <f>+AF19*(1+(intérêts25!L$34)/(AF$37))</f>
        <v>143185.25523875636</v>
      </c>
      <c r="AI19" s="5">
        <f t="shared" si="10"/>
        <v>143185.25523875636</v>
      </c>
      <c r="AJ19" s="42">
        <f>+AI19*(1+(intérêts25!M$34)/(AI$37))</f>
        <v>143185.25523875636</v>
      </c>
      <c r="AK19" s="41">
        <f t="shared" si="11"/>
        <v>128000</v>
      </c>
      <c r="AL19" s="58">
        <f t="shared" si="12"/>
        <v>15185.255238756363</v>
      </c>
      <c r="AM19" s="64">
        <f>Tableau44[[#This Row],[EP TOTALE]]+Tableau44[[#This Row],[INTERETS]]</f>
        <v>143185.25523875636</v>
      </c>
      <c r="AO19" s="69">
        <v>18</v>
      </c>
      <c r="AP19" s="69" t="s">
        <v>184</v>
      </c>
      <c r="AQ19" s="71">
        <v>128000</v>
      </c>
      <c r="AR19" s="71">
        <v>15185.255238756363</v>
      </c>
      <c r="AS19" s="71">
        <v>143185.25523875636</v>
      </c>
      <c r="AT19" s="71"/>
      <c r="AU19" s="69"/>
    </row>
    <row r="20" spans="1:47">
      <c r="A20" s="5" t="s">
        <v>185</v>
      </c>
      <c r="B20" s="42">
        <v>100000</v>
      </c>
      <c r="C20" s="5">
        <f>B20*(1+(intérêts25!B$34)/(B$37))</f>
        <v>100880.17974196837</v>
      </c>
      <c r="D20" s="42"/>
      <c r="E20" s="5">
        <f t="shared" si="0"/>
        <v>100880.17974196837</v>
      </c>
      <c r="F20" s="5">
        <f>+E20*(1+(intérêts25!C$34)/(E$37))</f>
        <v>101874.45016001201</v>
      </c>
      <c r="G20" s="42"/>
      <c r="H20" s="5">
        <f t="shared" si="1"/>
        <v>101874.45016001201</v>
      </c>
      <c r="I20" s="5">
        <f>+H20*(1+(intérêts25!D$34)/(H$37))</f>
        <v>104238.12916523113</v>
      </c>
      <c r="J20" s="42">
        <v>20000</v>
      </c>
      <c r="K20" s="5">
        <f t="shared" si="2"/>
        <v>124238.12916523113</v>
      </c>
      <c r="L20" s="5">
        <f>+K20*(1+(intérêts25!E$34)/(K$37))</f>
        <v>126058.07265317001</v>
      </c>
      <c r="M20" s="42"/>
      <c r="N20" s="5">
        <f t="shared" si="3"/>
        <v>126058.07265317001</v>
      </c>
      <c r="O20" s="5">
        <f>+N20*(1+(intérêts25!F$34)/(N$37))</f>
        <v>127534.26026718349</v>
      </c>
      <c r="P20" s="42"/>
      <c r="Q20" s="5">
        <f t="shared" si="4"/>
        <v>127534.26026718349</v>
      </c>
      <c r="R20" s="5">
        <f>+Q20*(1+(intérêts25!G$34)/(Q$37))</f>
        <v>129199.65255474314</v>
      </c>
      <c r="S20" s="42"/>
      <c r="T20" s="5">
        <f t="shared" si="5"/>
        <v>129199.65255474314</v>
      </c>
      <c r="U20" s="5">
        <f>+T20*(1+(intérêts25!H$34)/(T$37))</f>
        <v>130926.97950577883</v>
      </c>
      <c r="V20" s="42"/>
      <c r="W20" s="5">
        <f t="shared" si="6"/>
        <v>130926.97950577883</v>
      </c>
      <c r="X20" s="5">
        <f>+W20*(1+(intérêts25!I$34)/(W$37))</f>
        <v>132480.31074723502</v>
      </c>
      <c r="Y20" s="42"/>
      <c r="Z20" s="5">
        <f t="shared" si="7"/>
        <v>132480.31074723502</v>
      </c>
      <c r="AA20" s="5">
        <f>+Z20*(1+(intérêts25!J$34)/(Z$37))</f>
        <v>134914.10517469206</v>
      </c>
      <c r="AC20" s="5">
        <f t="shared" si="8"/>
        <v>134914.10517469206</v>
      </c>
      <c r="AD20" s="5">
        <f>+AC20*(1+(intérêts25!K$34)/(AC$37))</f>
        <v>137239.75527647251</v>
      </c>
      <c r="AF20" s="5">
        <f t="shared" si="9"/>
        <v>137239.75527647251</v>
      </c>
      <c r="AG20" s="5">
        <f>+AF20*(1+(intérêts25!L$34)/(AF$37))</f>
        <v>139608.73124463152</v>
      </c>
      <c r="AI20" s="5">
        <f t="shared" si="10"/>
        <v>139608.73124463152</v>
      </c>
      <c r="AJ20" s="42">
        <f>+AI20*(1+(intérêts25!M$34)/(AI$37))</f>
        <v>139608.73124463152</v>
      </c>
      <c r="AK20" s="41">
        <f t="shared" si="11"/>
        <v>120000</v>
      </c>
      <c r="AL20" s="58">
        <f t="shared" si="12"/>
        <v>19608.731244631519</v>
      </c>
      <c r="AM20" s="64">
        <f>Tableau44[[#This Row],[EP TOTALE]]+Tableau44[[#This Row],[INTERETS]]</f>
        <v>139608.73124463152</v>
      </c>
      <c r="AO20" s="69">
        <v>19</v>
      </c>
      <c r="AP20" s="70" t="s">
        <v>185</v>
      </c>
      <c r="AQ20" s="71">
        <v>120000</v>
      </c>
      <c r="AR20" s="71">
        <v>19608.731244631519</v>
      </c>
      <c r="AS20" s="71">
        <v>139608.73124463152</v>
      </c>
      <c r="AT20" s="71"/>
      <c r="AU20" s="69"/>
    </row>
    <row r="21" spans="1:47">
      <c r="A21" s="5" t="s">
        <v>186</v>
      </c>
      <c r="B21" s="42">
        <v>0</v>
      </c>
      <c r="C21" s="5">
        <f>B21*(1+(intérêts25!B$34)/(B$37))</f>
        <v>0</v>
      </c>
      <c r="D21" s="42"/>
      <c r="E21" s="5">
        <f t="shared" si="0"/>
        <v>0</v>
      </c>
      <c r="F21" s="5">
        <f>+E21*(1+(intérêts25!C$34)/(E$37))</f>
        <v>0</v>
      </c>
      <c r="G21" s="42">
        <v>6000</v>
      </c>
      <c r="H21" s="5">
        <f t="shared" si="1"/>
        <v>6000</v>
      </c>
      <c r="I21" s="5">
        <f>+H21*(1+(intérêts25!D$34)/(H$37))</f>
        <v>6139.2112939901926</v>
      </c>
      <c r="J21" s="42"/>
      <c r="K21" s="5">
        <f t="shared" si="2"/>
        <v>6139.2112939901926</v>
      </c>
      <c r="L21" s="5">
        <f>+K21*(1+(intérêts25!E$34)/(K$37))</f>
        <v>6229.1435691351171</v>
      </c>
      <c r="M21" s="42"/>
      <c r="N21" s="5">
        <f t="shared" si="3"/>
        <v>6229.1435691351171</v>
      </c>
      <c r="O21" s="5">
        <f>+N21*(1+(intérêts25!F$34)/(N$37))</f>
        <v>6302.0891916496603</v>
      </c>
      <c r="P21" s="42"/>
      <c r="Q21" s="5">
        <f t="shared" si="4"/>
        <v>6302.0891916496603</v>
      </c>
      <c r="R21" s="5">
        <f>+Q21*(1+(intérêts25!G$34)/(Q$37))</f>
        <v>6384.3843389559488</v>
      </c>
      <c r="S21" s="42"/>
      <c r="T21" s="5">
        <f t="shared" si="5"/>
        <v>6384.3843389559488</v>
      </c>
      <c r="U21" s="5">
        <f>+T21*(1+(intérêts25!H$34)/(T$37))</f>
        <v>6469.7399797520893</v>
      </c>
      <c r="V21" s="42"/>
      <c r="W21" s="5">
        <f t="shared" si="6"/>
        <v>6469.7399797520893</v>
      </c>
      <c r="X21" s="5">
        <f>+W21*(1+(intérêts25!I$34)/(W$37))</f>
        <v>6546.497644769508</v>
      </c>
      <c r="Y21" s="42"/>
      <c r="Z21" s="5">
        <f t="shared" si="7"/>
        <v>6546.497644769508</v>
      </c>
      <c r="AA21" s="5">
        <f>+Z21*(1+(intérêts25!J$34)/(Z$37))</f>
        <v>6666.7632857340705</v>
      </c>
      <c r="AC21" s="5">
        <f t="shared" si="8"/>
        <v>6666.7632857340705</v>
      </c>
      <c r="AD21" s="5">
        <f>+AC21*(1+(intérêts25!K$34)/(AC$37))</f>
        <v>6781.6849886496975</v>
      </c>
      <c r="AF21" s="5">
        <f t="shared" si="9"/>
        <v>6781.6849886496975</v>
      </c>
      <c r="AG21" s="5">
        <f>+AF21*(1+(intérêts25!L$34)/(AF$37))</f>
        <v>6898.747633721975</v>
      </c>
      <c r="AI21" s="5">
        <f t="shared" si="10"/>
        <v>6898.747633721975</v>
      </c>
      <c r="AJ21" s="42">
        <f>+AI21*(1+(intérêts25!M$34)/(AI$37))</f>
        <v>6898.747633721975</v>
      </c>
      <c r="AK21" s="41">
        <f t="shared" si="11"/>
        <v>6000</v>
      </c>
      <c r="AL21" s="58">
        <f t="shared" si="12"/>
        <v>898.74763372197503</v>
      </c>
      <c r="AM21" s="64">
        <f>Tableau44[[#This Row],[EP TOTALE]]+Tableau44[[#This Row],[INTERETS]]</f>
        <v>6898.747633721975</v>
      </c>
      <c r="AO21" s="69">
        <v>20</v>
      </c>
      <c r="AP21" s="69" t="s">
        <v>186</v>
      </c>
      <c r="AQ21" s="71">
        <v>6000</v>
      </c>
      <c r="AR21" s="71">
        <v>898.74763372197503</v>
      </c>
      <c r="AS21" s="71">
        <v>6898.747633721975</v>
      </c>
      <c r="AT21" s="71"/>
      <c r="AU21" s="69"/>
    </row>
    <row r="22" spans="1:47">
      <c r="A22" s="5" t="s">
        <v>187</v>
      </c>
      <c r="B22" s="42">
        <v>100000</v>
      </c>
      <c r="C22" s="5">
        <f>B22*(1+(intérêts25!B$34)/(B$37))</f>
        <v>100880.17974196837</v>
      </c>
      <c r="D22" s="42"/>
      <c r="E22" s="5">
        <f t="shared" si="0"/>
        <v>100880.17974196837</v>
      </c>
      <c r="F22" s="5">
        <f>+E22*(1+(intérêts25!C$34)/(E$37))</f>
        <v>101874.45016001201</v>
      </c>
      <c r="G22" s="42"/>
      <c r="H22" s="5">
        <f t="shared" si="1"/>
        <v>101874.45016001201</v>
      </c>
      <c r="I22" s="5">
        <f>+H22*(1+(intérêts25!D$34)/(H$37))</f>
        <v>104238.12916523113</v>
      </c>
      <c r="J22" s="42"/>
      <c r="K22" s="5">
        <f t="shared" si="2"/>
        <v>104238.12916523113</v>
      </c>
      <c r="L22" s="5">
        <f>+K22*(1+(intérêts25!E$34)/(K$37))</f>
        <v>105765.09601223582</v>
      </c>
      <c r="M22" s="42"/>
      <c r="N22" s="5">
        <f t="shared" si="3"/>
        <v>105765.09601223582</v>
      </c>
      <c r="O22" s="5">
        <f>+N22*(1+(intérêts25!F$34)/(N$37))</f>
        <v>107003.64520977731</v>
      </c>
      <c r="P22" s="42"/>
      <c r="Q22" s="5">
        <f t="shared" si="4"/>
        <v>107003.64520977731</v>
      </c>
      <c r="R22" s="5">
        <f>+Q22*(1+(intérêts25!G$34)/(Q$37))</f>
        <v>108400.94069022153</v>
      </c>
      <c r="S22" s="42"/>
      <c r="T22" s="5">
        <f t="shared" si="5"/>
        <v>108400.94069022153</v>
      </c>
      <c r="U22" s="5">
        <f>+T22*(1+(intérêts25!H$34)/(T$37))</f>
        <v>109850.20051924858</v>
      </c>
      <c r="V22" s="42"/>
      <c r="W22" s="5">
        <f t="shared" si="6"/>
        <v>109850.20051924858</v>
      </c>
      <c r="X22" s="5">
        <f>+W22*(1+(intérêts25!I$34)/(W$37))</f>
        <v>111153.47467245124</v>
      </c>
      <c r="Y22" s="42"/>
      <c r="Z22" s="5">
        <f t="shared" si="7"/>
        <v>111153.47467245124</v>
      </c>
      <c r="AA22" s="5">
        <f>+Z22*(1+(intérêts25!J$34)/(Z$37))</f>
        <v>113195.47401351895</v>
      </c>
      <c r="AC22" s="5">
        <f t="shared" si="8"/>
        <v>113195.47401351895</v>
      </c>
      <c r="AD22" s="5">
        <f>+AC22*(1+(intérêts25!K$34)/(AC$37))</f>
        <v>115146.7382295159</v>
      </c>
      <c r="AE22" s="5">
        <v>8000</v>
      </c>
      <c r="AF22" s="5">
        <f t="shared" si="9"/>
        <v>123146.7382295159</v>
      </c>
      <c r="AG22" s="5">
        <f>+AF22*(1+(intérêts25!L$34)/(AF$37))</f>
        <v>125272.44635858676</v>
      </c>
      <c r="AI22" s="5">
        <f t="shared" si="10"/>
        <v>125272.44635858676</v>
      </c>
      <c r="AJ22" s="42">
        <f>+AI22*(1+(intérêts25!M$34)/(AI$37))</f>
        <v>125272.44635858676</v>
      </c>
      <c r="AK22" s="41">
        <f t="shared" si="11"/>
        <v>108000</v>
      </c>
      <c r="AL22" s="58">
        <f t="shared" si="12"/>
        <v>17272.446358586763</v>
      </c>
      <c r="AM22" s="64">
        <f>Tableau44[[#This Row],[EP TOTALE]]+Tableau44[[#This Row],[INTERETS]]</f>
        <v>125272.44635858676</v>
      </c>
      <c r="AO22" s="69">
        <v>21</v>
      </c>
      <c r="AP22" s="70" t="s">
        <v>187</v>
      </c>
      <c r="AQ22" s="71">
        <v>108000</v>
      </c>
      <c r="AR22" s="71">
        <v>17272.446358586763</v>
      </c>
      <c r="AS22" s="71">
        <v>125272.44635858676</v>
      </c>
      <c r="AT22" s="71"/>
      <c r="AU22" s="69"/>
    </row>
    <row r="23" spans="1:47">
      <c r="A23" s="5" t="s">
        <v>188</v>
      </c>
      <c r="B23" s="42"/>
      <c r="C23" s="5">
        <f>B23*(1+(intérêts25!B$34)/(B$37))</f>
        <v>0</v>
      </c>
      <c r="D23" s="42"/>
      <c r="E23" s="5">
        <f t="shared" si="0"/>
        <v>0</v>
      </c>
      <c r="F23" s="5">
        <f>+E23*(1+(intérêts25!C$34)/(E$37))</f>
        <v>0</v>
      </c>
      <c r="G23" s="42">
        <v>100000</v>
      </c>
      <c r="H23" s="5">
        <f t="shared" si="1"/>
        <v>100000</v>
      </c>
      <c r="I23" s="5">
        <f>+H23*(1+(intérêts25!D$34)/(H$37))</f>
        <v>102320.18823316989</v>
      </c>
      <c r="J23" s="42"/>
      <c r="K23" s="5">
        <f t="shared" si="2"/>
        <v>102320.18823316989</v>
      </c>
      <c r="L23" s="5">
        <f>+K23*(1+(intérêts25!E$34)/(K$37))</f>
        <v>103819.0594855853</v>
      </c>
      <c r="M23" s="42">
        <v>100000</v>
      </c>
      <c r="N23" s="5">
        <f t="shared" si="3"/>
        <v>203819.05948558531</v>
      </c>
      <c r="O23" s="5">
        <f>+N23*(1+(intérêts25!F$34)/(N$37))</f>
        <v>206205.85760791035</v>
      </c>
      <c r="P23" s="42"/>
      <c r="Q23" s="5">
        <f t="shared" si="4"/>
        <v>206205.85760791035</v>
      </c>
      <c r="R23" s="5">
        <f>+Q23*(1+(intérêts25!G$34)/(Q$37))</f>
        <v>208898.57440565855</v>
      </c>
      <c r="S23" s="42"/>
      <c r="T23" s="5">
        <f t="shared" si="5"/>
        <v>208898.57440565855</v>
      </c>
      <c r="U23" s="5">
        <f>+T23*(1+(intérêts25!H$34)/(T$37))</f>
        <v>211691.43127848132</v>
      </c>
      <c r="V23" s="42"/>
      <c r="W23" s="5">
        <f t="shared" si="6"/>
        <v>211691.43127848132</v>
      </c>
      <c r="X23" s="5">
        <f>+W23*(1+(intérêts25!I$34)/(W$37))</f>
        <v>214202.96033837937</v>
      </c>
      <c r="Y23" s="42"/>
      <c r="Z23" s="5">
        <f t="shared" si="7"/>
        <v>214202.96033837937</v>
      </c>
      <c r="AA23" s="5">
        <f>+Z23*(1+(intérêts25!J$34)/(Z$37))</f>
        <v>218138.08072174722</v>
      </c>
      <c r="AC23" s="5">
        <f t="shared" si="8"/>
        <v>218138.08072174722</v>
      </c>
      <c r="AD23" s="5">
        <f>+AC23*(1+(intérêts25!K$34)/(AC$37))</f>
        <v>221898.34618083941</v>
      </c>
      <c r="AF23" s="5">
        <f t="shared" si="9"/>
        <v>221898.34618083941</v>
      </c>
      <c r="AG23" s="5">
        <f>+AF23*(1+(intérêts25!L$34)/(AF$37))</f>
        <v>225728.66377662396</v>
      </c>
      <c r="AI23" s="5">
        <f t="shared" si="10"/>
        <v>225728.66377662396</v>
      </c>
      <c r="AJ23" s="42">
        <f>+AI23*(1+(intérêts25!M$34)/(AI$37))</f>
        <v>225728.66377662396</v>
      </c>
      <c r="AK23" s="41">
        <f t="shared" si="11"/>
        <v>200000</v>
      </c>
      <c r="AL23" s="58">
        <f t="shared" si="12"/>
        <v>25728.663776623958</v>
      </c>
      <c r="AM23" s="64">
        <f>Tableau44[[#This Row],[EP TOTALE]]+Tableau44[[#This Row],[INTERETS]]</f>
        <v>225728.66377662396</v>
      </c>
      <c r="AO23" s="69">
        <v>22</v>
      </c>
      <c r="AP23" s="69" t="s">
        <v>188</v>
      </c>
      <c r="AQ23" s="71">
        <v>200000</v>
      </c>
      <c r="AR23" s="71">
        <v>25728.663776623958</v>
      </c>
      <c r="AS23" s="71">
        <v>225728.66377662396</v>
      </c>
      <c r="AT23" s="71"/>
      <c r="AU23" s="69"/>
    </row>
    <row r="24" spans="1:47">
      <c r="A24" s="5" t="s">
        <v>189</v>
      </c>
      <c r="B24" s="42">
        <v>0</v>
      </c>
      <c r="C24" s="5">
        <f>B24*(1+(intérêts25!B$34)/(B$37))</f>
        <v>0</v>
      </c>
      <c r="D24" s="42"/>
      <c r="E24" s="5">
        <f t="shared" si="0"/>
        <v>0</v>
      </c>
      <c r="F24" s="5">
        <f>+E24*(1+(intérêts25!C$34)/(E$37))</f>
        <v>0</v>
      </c>
      <c r="G24" s="42"/>
      <c r="H24" s="5">
        <f t="shared" si="1"/>
        <v>0</v>
      </c>
      <c r="I24" s="5">
        <f>+H24*(1+(intérêts25!D$34)/(H$37))</f>
        <v>0</v>
      </c>
      <c r="J24" s="42"/>
      <c r="K24" s="5">
        <f t="shared" si="2"/>
        <v>0</v>
      </c>
      <c r="L24" s="5">
        <f>+K24*(1+(intérêts25!E$34)/(K$37))</f>
        <v>0</v>
      </c>
      <c r="M24" s="42"/>
      <c r="N24" s="5">
        <f t="shared" si="3"/>
        <v>0</v>
      </c>
      <c r="O24" s="5">
        <f>+N24*(1+(intérêts25!F$34)/(N$37))</f>
        <v>0</v>
      </c>
      <c r="P24" s="42"/>
      <c r="Q24" s="5">
        <f t="shared" si="4"/>
        <v>0</v>
      </c>
      <c r="R24" s="5">
        <f>+Q24*(1+(intérêts25!G$34)/(Q$37))</f>
        <v>0</v>
      </c>
      <c r="S24" s="42"/>
      <c r="T24" s="5">
        <f t="shared" si="5"/>
        <v>0</v>
      </c>
      <c r="U24" s="5">
        <f>+T24*(1+(intérêts25!H$34)/(T$37))</f>
        <v>0</v>
      </c>
      <c r="V24" s="42"/>
      <c r="W24" s="5">
        <f t="shared" si="6"/>
        <v>0</v>
      </c>
      <c r="X24" s="5">
        <f>+W24*(1+(intérêts25!I$34)/(W$37))</f>
        <v>0</v>
      </c>
      <c r="Y24" s="42">
        <v>100000</v>
      </c>
      <c r="Z24" s="5">
        <f t="shared" si="7"/>
        <v>100000</v>
      </c>
      <c r="AA24" s="5">
        <f>+Z24*(1+(intérêts25!J$34)/(Z$37))</f>
        <v>101837.09897246587</v>
      </c>
      <c r="AC24" s="5">
        <f t="shared" si="8"/>
        <v>101837.09897246587</v>
      </c>
      <c r="AD24" s="5">
        <f>+AC24*(1+(intérêts25!K$34)/(AC$37))</f>
        <v>103592.56745579217</v>
      </c>
      <c r="AF24" s="5">
        <f t="shared" si="9"/>
        <v>103592.56745579217</v>
      </c>
      <c r="AG24" s="5">
        <f>+AF24*(1+(intérêts25!L$34)/(AF$37))</f>
        <v>105380.73956589456</v>
      </c>
      <c r="AI24" s="5">
        <f t="shared" si="10"/>
        <v>105380.73956589456</v>
      </c>
      <c r="AJ24" s="42">
        <f>+AI24*(1+(intérêts25!M$34)/(AI$37))</f>
        <v>105380.73956589456</v>
      </c>
      <c r="AK24" s="41">
        <f t="shared" si="11"/>
        <v>100000</v>
      </c>
      <c r="AL24" s="58">
        <f t="shared" si="12"/>
        <v>5380.7395658945607</v>
      </c>
      <c r="AM24" s="64">
        <f>Tableau44[[#This Row],[EP TOTALE]]+Tableau44[[#This Row],[INTERETS]]</f>
        <v>105380.73956589456</v>
      </c>
      <c r="AO24" s="69">
        <v>23</v>
      </c>
      <c r="AP24" s="70" t="s">
        <v>189</v>
      </c>
      <c r="AQ24" s="71">
        <v>100000</v>
      </c>
      <c r="AR24" s="71">
        <v>5380.7395658945607</v>
      </c>
      <c r="AS24" s="71">
        <v>105380.73956589456</v>
      </c>
      <c r="AT24" s="71"/>
      <c r="AU24" s="69"/>
    </row>
    <row r="25" spans="1:47">
      <c r="A25" s="5" t="s">
        <v>190</v>
      </c>
      <c r="B25" s="42">
        <v>100500</v>
      </c>
      <c r="C25" s="5">
        <f>B25*(1+(intérêts25!B$34)/(B$37))</f>
        <v>101384.58064067821</v>
      </c>
      <c r="D25" s="42"/>
      <c r="E25" s="5">
        <f t="shared" si="0"/>
        <v>101384.58064067821</v>
      </c>
      <c r="F25" s="5">
        <f>+E25*(1+(intérêts25!C$34)/(E$37))</f>
        <v>102383.82241081206</v>
      </c>
      <c r="G25" s="42"/>
      <c r="H25" s="5">
        <f t="shared" si="1"/>
        <v>102383.82241081206</v>
      </c>
      <c r="I25" s="5">
        <f>+H25*(1+(intérêts25!D$34)/(H$37))</f>
        <v>104759.31981105727</v>
      </c>
      <c r="J25" s="42"/>
      <c r="K25" s="5">
        <f t="shared" si="2"/>
        <v>104759.31981105727</v>
      </c>
      <c r="L25" s="5">
        <f>+K25*(1+(intérêts25!E$34)/(K$37))</f>
        <v>106293.92149229698</v>
      </c>
      <c r="M25" s="42"/>
      <c r="N25" s="5">
        <f t="shared" si="3"/>
        <v>106293.92149229698</v>
      </c>
      <c r="O25" s="5">
        <f>+N25*(1+(intérêts25!F$34)/(N$37))</f>
        <v>107538.66343582618</v>
      </c>
      <c r="P25" s="42"/>
      <c r="Q25" s="5">
        <f t="shared" si="4"/>
        <v>107538.66343582618</v>
      </c>
      <c r="R25" s="5">
        <f>+Q25*(1+(intérêts25!G$34)/(Q$37))</f>
        <v>108942.94539367262</v>
      </c>
      <c r="S25" s="42"/>
      <c r="T25" s="5">
        <f t="shared" si="5"/>
        <v>108942.94539367262</v>
      </c>
      <c r="U25" s="5">
        <f>+T25*(1+(intérêts25!H$34)/(T$37))</f>
        <v>110399.45152184481</v>
      </c>
      <c r="V25" s="42"/>
      <c r="W25" s="5">
        <f t="shared" si="6"/>
        <v>110399.45152184481</v>
      </c>
      <c r="X25" s="5">
        <f>+W25*(1+(intérêts25!I$34)/(W$37))</f>
        <v>111709.24204581347</v>
      </c>
      <c r="Y25" s="42"/>
      <c r="Z25" s="5">
        <f t="shared" si="7"/>
        <v>111709.24204581347</v>
      </c>
      <c r="AA25" s="5">
        <f>+Z25*(1+(intérêts25!J$34)/(Z$37))</f>
        <v>113761.45138358652</v>
      </c>
      <c r="AC25" s="5">
        <f t="shared" si="8"/>
        <v>113761.45138358652</v>
      </c>
      <c r="AD25" s="5">
        <f>+AC25*(1+(intérêts25!K$34)/(AC$37))</f>
        <v>115722.47192066346</v>
      </c>
      <c r="AF25" s="5">
        <f t="shared" si="9"/>
        <v>115722.47192066346</v>
      </c>
      <c r="AG25" s="5">
        <f>+AF25*(1+(intérêts25!L$34)/(AF$37))</f>
        <v>117720.02543133346</v>
      </c>
      <c r="AI25" s="5">
        <f t="shared" si="10"/>
        <v>117720.02543133346</v>
      </c>
      <c r="AJ25" s="42">
        <f>+AI25*(1+(intérêts25!M$34)/(AI$37))</f>
        <v>117720.02543133346</v>
      </c>
      <c r="AK25" s="41">
        <f t="shared" si="11"/>
        <v>100500</v>
      </c>
      <c r="AL25" s="58">
        <f t="shared" si="12"/>
        <v>17220.025431333459</v>
      </c>
      <c r="AM25" s="64">
        <f>Tableau44[[#This Row],[EP TOTALE]]+Tableau44[[#This Row],[INTERETS]]</f>
        <v>117720.02543133346</v>
      </c>
      <c r="AO25" s="69">
        <v>24</v>
      </c>
      <c r="AP25" s="69" t="s">
        <v>190</v>
      </c>
      <c r="AQ25" s="71">
        <v>100500</v>
      </c>
      <c r="AR25" s="71">
        <v>17220.025431333459</v>
      </c>
      <c r="AS25" s="71">
        <v>117720.02543133346</v>
      </c>
      <c r="AT25" s="71"/>
      <c r="AU25" s="69"/>
    </row>
    <row r="26" spans="1:47">
      <c r="A26" s="5" t="s">
        <v>191</v>
      </c>
      <c r="B26" s="42">
        <v>100000</v>
      </c>
      <c r="C26" s="5">
        <f>B26*(1+(intérêts25!B$34)/(B$37))</f>
        <v>100880.17974196837</v>
      </c>
      <c r="D26" s="42"/>
      <c r="E26" s="5">
        <f t="shared" si="0"/>
        <v>100880.17974196837</v>
      </c>
      <c r="F26" s="5">
        <f>+E26*(1+(intérêts25!C$34)/(E$37))</f>
        <v>101874.45016001201</v>
      </c>
      <c r="G26" s="42"/>
      <c r="H26" s="5">
        <f t="shared" si="1"/>
        <v>101874.45016001201</v>
      </c>
      <c r="I26" s="5">
        <f>+H26*(1+(intérêts25!D$34)/(H$37))</f>
        <v>104238.12916523113</v>
      </c>
      <c r="J26" s="42"/>
      <c r="K26" s="5">
        <f t="shared" si="2"/>
        <v>104238.12916523113</v>
      </c>
      <c r="L26" s="5">
        <f>+K26*(1+(intérêts25!E$34)/(K$37))</f>
        <v>105765.09601223582</v>
      </c>
      <c r="M26" s="42"/>
      <c r="N26" s="5">
        <f t="shared" si="3"/>
        <v>105765.09601223582</v>
      </c>
      <c r="O26" s="5">
        <f>+N26*(1+(intérêts25!F$34)/(N$37))</f>
        <v>107003.64520977731</v>
      </c>
      <c r="P26" s="42"/>
      <c r="Q26" s="5">
        <f t="shared" si="4"/>
        <v>107003.64520977731</v>
      </c>
      <c r="R26" s="5">
        <f>+Q26*(1+(intérêts25!G$34)/(Q$37))</f>
        <v>108400.94069022153</v>
      </c>
      <c r="S26" s="42"/>
      <c r="T26" s="5">
        <f t="shared" si="5"/>
        <v>108400.94069022153</v>
      </c>
      <c r="U26" s="5">
        <f>+T26*(1+(intérêts25!H$34)/(T$37))</f>
        <v>109850.20051924858</v>
      </c>
      <c r="V26" s="42"/>
      <c r="W26" s="5">
        <f t="shared" si="6"/>
        <v>109850.20051924858</v>
      </c>
      <c r="X26" s="5">
        <f>+W26*(1+(intérêts25!I$34)/(W$37))</f>
        <v>111153.47467245124</v>
      </c>
      <c r="Y26" s="42">
        <v>0</v>
      </c>
      <c r="Z26" s="5">
        <f t="shared" si="7"/>
        <v>111153.47467245124</v>
      </c>
      <c r="AA26" s="5">
        <f>+Z26*(1+(intérêts25!J$34)/(Z$37))</f>
        <v>113195.47401351895</v>
      </c>
      <c r="AC26" s="5">
        <f t="shared" si="8"/>
        <v>113195.47401351895</v>
      </c>
      <c r="AD26" s="5">
        <f>+AC26*(1+(intérêts25!K$34)/(AC$37))</f>
        <v>115146.7382295159</v>
      </c>
      <c r="AE26" s="5">
        <v>150000</v>
      </c>
      <c r="AF26" s="5">
        <f t="shared" si="9"/>
        <v>265146.7382295159</v>
      </c>
      <c r="AG26" s="5">
        <f>+AF26*(1+(intérêts25!L$34)/(AF$37))</f>
        <v>269723.59170492541</v>
      </c>
      <c r="AI26" s="5">
        <f t="shared" si="10"/>
        <v>269723.59170492541</v>
      </c>
      <c r="AJ26" s="42">
        <f>+AI26*(1+(intérêts25!M$34)/(AI$37))</f>
        <v>269723.59170492541</v>
      </c>
      <c r="AK26" s="41">
        <f t="shared" si="11"/>
        <v>250000</v>
      </c>
      <c r="AL26" s="58">
        <f t="shared" si="12"/>
        <v>19723.591704925406</v>
      </c>
      <c r="AM26" s="64">
        <f>Tableau44[[#This Row],[EP TOTALE]]+Tableau44[[#This Row],[INTERETS]]</f>
        <v>269723.59170492541</v>
      </c>
      <c r="AO26" s="69">
        <v>25</v>
      </c>
      <c r="AP26" s="70" t="s">
        <v>191</v>
      </c>
      <c r="AQ26" s="71">
        <v>250000</v>
      </c>
      <c r="AR26" s="71">
        <v>19723.591704925406</v>
      </c>
      <c r="AS26" s="71">
        <v>269723.59170492541</v>
      </c>
      <c r="AT26" s="71"/>
      <c r="AU26" s="69"/>
    </row>
    <row r="27" spans="1:47">
      <c r="A27" s="5" t="s">
        <v>192</v>
      </c>
      <c r="B27" s="42">
        <v>600000</v>
      </c>
      <c r="C27" s="5">
        <f>B27*(1+(intérêts25!B$34)/(B$37))</f>
        <v>605281.07845181017</v>
      </c>
      <c r="D27" s="42"/>
      <c r="E27" s="5">
        <f t="shared" si="0"/>
        <v>605281.07845181017</v>
      </c>
      <c r="F27" s="5">
        <f>+E27*(1+(intérêts25!C$34)/(E$37))</f>
        <v>611246.70096007199</v>
      </c>
      <c r="G27" s="42"/>
      <c r="H27" s="5">
        <f t="shared" si="1"/>
        <v>611246.70096007199</v>
      </c>
      <c r="I27" s="5">
        <f>+H27*(1+(intérêts25!D$34)/(H$37))</f>
        <v>625428.77499138669</v>
      </c>
      <c r="J27" s="42"/>
      <c r="K27" s="5">
        <f t="shared" si="2"/>
        <v>625428.77499138669</v>
      </c>
      <c r="L27" s="5">
        <f>+K27*(1+(intérêts25!E$34)/(K$37))</f>
        <v>634590.57607341476</v>
      </c>
      <c r="M27" s="42">
        <v>150000</v>
      </c>
      <c r="N27" s="5">
        <f t="shared" si="3"/>
        <v>784590.57607341476</v>
      </c>
      <c r="O27" s="5">
        <f>+N27*(1+(intérêts25!F$34)/(N$37))</f>
        <v>793778.42787928763</v>
      </c>
      <c r="P27" s="42"/>
      <c r="Q27" s="5">
        <f t="shared" si="4"/>
        <v>793778.42787928763</v>
      </c>
      <c r="R27" s="5">
        <f>+Q27*(1+(intérêts25!G$34)/(Q$37))</f>
        <v>804143.89727591805</v>
      </c>
      <c r="S27" s="42"/>
      <c r="T27" s="5">
        <f t="shared" si="5"/>
        <v>804143.89727591805</v>
      </c>
      <c r="U27" s="5">
        <f>+T27*(1+(intérêts25!H$34)/(T$37))</f>
        <v>814894.85053941095</v>
      </c>
      <c r="V27" s="42"/>
      <c r="W27" s="5">
        <f t="shared" si="6"/>
        <v>814894.85053941095</v>
      </c>
      <c r="X27" s="5">
        <f>+W27*(1+(intérêts25!I$34)/(W$37))</f>
        <v>824562.84742303856</v>
      </c>
      <c r="Y27" s="42"/>
      <c r="Z27" s="5">
        <f t="shared" si="7"/>
        <v>824562.84742303856</v>
      </c>
      <c r="AA27" s="5">
        <f>+Z27*(1+(intérêts25!J$34)/(Z$37))</f>
        <v>839710.88302038249</v>
      </c>
      <c r="AC27" s="5">
        <f t="shared" si="8"/>
        <v>839710.88302038249</v>
      </c>
      <c r="AD27" s="5">
        <f>+AC27*(1+(intérêts25!K$34)/(AC$37))</f>
        <v>854185.82393211185</v>
      </c>
      <c r="AF27" s="5">
        <f t="shared" si="9"/>
        <v>854185.82393211185</v>
      </c>
      <c r="AG27" s="5">
        <f>+AF27*(1+(intérêts25!L$34)/(AF$37))</f>
        <v>868930.42679999664</v>
      </c>
      <c r="AI27" s="5">
        <f t="shared" si="10"/>
        <v>868930.42679999664</v>
      </c>
      <c r="AJ27" s="42">
        <f>+AI27*(1+(intérêts25!M$34)/(AI$37))</f>
        <v>868930.42679999664</v>
      </c>
      <c r="AK27" s="41">
        <f t="shared" si="11"/>
        <v>750000</v>
      </c>
      <c r="AL27" s="58">
        <f t="shared" si="12"/>
        <v>118930.42679999664</v>
      </c>
      <c r="AM27" s="64">
        <f>Tableau44[[#This Row],[EP TOTALE]]+Tableau44[[#This Row],[INTERETS]]</f>
        <v>868930.42679999664</v>
      </c>
      <c r="AO27" s="69">
        <v>26</v>
      </c>
      <c r="AP27" s="69" t="s">
        <v>192</v>
      </c>
      <c r="AQ27" s="71">
        <v>750000</v>
      </c>
      <c r="AR27" s="71">
        <v>118930.42679999664</v>
      </c>
      <c r="AS27" s="71">
        <v>868930.42679999664</v>
      </c>
      <c r="AT27" s="71"/>
      <c r="AU27" s="69"/>
    </row>
    <row r="28" spans="1:47">
      <c r="A28" s="5" t="s">
        <v>193</v>
      </c>
      <c r="B28" s="42">
        <v>54000</v>
      </c>
      <c r="C28" s="5">
        <f>B28*(1+(intérêts25!B$34)/(B$37))</f>
        <v>54475.297060662917</v>
      </c>
      <c r="D28" s="42">
        <v>100000</v>
      </c>
      <c r="E28" s="5">
        <f t="shared" si="0"/>
        <v>154475.29706066291</v>
      </c>
      <c r="F28" s="5">
        <f>+E28*(1+(intérêts25!C$34)/(E$37))</f>
        <v>155997.79849334052</v>
      </c>
      <c r="G28" s="42">
        <v>50000</v>
      </c>
      <c r="H28" s="5">
        <f t="shared" si="1"/>
        <v>205997.79849334052</v>
      </c>
      <c r="I28" s="5">
        <f>+H28*(1+(intérêts25!D$34)/(H$37))</f>
        <v>210777.33517457201</v>
      </c>
      <c r="J28" s="42"/>
      <c r="K28" s="5">
        <f t="shared" si="2"/>
        <v>210777.33517457201</v>
      </c>
      <c r="L28" s="5">
        <f>+K28*(1+(intérêts25!E$34)/(K$37))</f>
        <v>213864.97695679733</v>
      </c>
      <c r="M28" s="42"/>
      <c r="N28" s="5">
        <f t="shared" si="3"/>
        <v>213864.97695679733</v>
      </c>
      <c r="O28" s="5">
        <f>+N28*(1+(intérêts25!F$34)/(N$37))</f>
        <v>216369.41656475104</v>
      </c>
      <c r="P28" s="42"/>
      <c r="Q28" s="5">
        <f t="shared" si="4"/>
        <v>216369.41656475104</v>
      </c>
      <c r="R28" s="5">
        <f>+Q28*(1+(intérêts25!G$34)/(Q$37))</f>
        <v>219194.85309338113</v>
      </c>
      <c r="S28" s="42"/>
      <c r="T28" s="5">
        <f t="shared" si="5"/>
        <v>219194.85309338113</v>
      </c>
      <c r="U28" s="5">
        <f>+T28*(1+(intérêts25!H$34)/(T$37))</f>
        <v>222125.36544221334</v>
      </c>
      <c r="V28" s="42"/>
      <c r="W28" s="5">
        <f t="shared" si="6"/>
        <v>222125.36544221334</v>
      </c>
      <c r="X28" s="5">
        <f>+W28*(1+(intérêts25!I$34)/(W$37))</f>
        <v>224760.68377739296</v>
      </c>
      <c r="Y28" s="42">
        <v>100000</v>
      </c>
      <c r="Z28" s="5">
        <f t="shared" si="7"/>
        <v>324760.68377739296</v>
      </c>
      <c r="AA28" s="5">
        <f>+Z28*(1+(intérêts25!J$34)/(Z$37))</f>
        <v>330726.85896204057</v>
      </c>
      <c r="AC28" s="5">
        <f t="shared" si="8"/>
        <v>330726.85896204057</v>
      </c>
      <c r="AD28" s="5">
        <f>+AC28*(1+(intérêts25!K$34)/(AC$37))</f>
        <v>336427.93041198771</v>
      </c>
      <c r="AF28" s="5">
        <f t="shared" si="9"/>
        <v>336427.93041198771</v>
      </c>
      <c r="AG28" s="5">
        <f>+AF28*(1+(intérêts25!L$34)/(AF$37))</f>
        <v>342235.21038387285</v>
      </c>
      <c r="AI28" s="5">
        <f t="shared" si="10"/>
        <v>342235.21038387285</v>
      </c>
      <c r="AJ28" s="42">
        <f>+AI28*(1+(intérêts25!M$34)/(AI$37))</f>
        <v>342235.21038387285</v>
      </c>
      <c r="AK28" s="41">
        <f t="shared" si="11"/>
        <v>304000</v>
      </c>
      <c r="AL28" s="58">
        <f t="shared" si="12"/>
        <v>38235.210383872851</v>
      </c>
      <c r="AM28" s="64">
        <f>Tableau44[[#This Row],[EP TOTALE]]+Tableau44[[#This Row],[INTERETS]]</f>
        <v>342235.21038387285</v>
      </c>
      <c r="AO28" s="69">
        <v>27</v>
      </c>
      <c r="AP28" s="70" t="s">
        <v>193</v>
      </c>
      <c r="AQ28" s="71">
        <v>304000</v>
      </c>
      <c r="AR28" s="71">
        <v>38235.210383872851</v>
      </c>
      <c r="AS28" s="71">
        <v>342235.21038387285</v>
      </c>
      <c r="AT28" s="71"/>
      <c r="AU28" s="69"/>
    </row>
    <row r="29" spans="1:47">
      <c r="A29" s="5" t="s">
        <v>194</v>
      </c>
      <c r="B29" s="42">
        <v>300000</v>
      </c>
      <c r="C29" s="5">
        <f>B29*(1+(intérêts25!B$34)/(B$37))</f>
        <v>302640.53922590509</v>
      </c>
      <c r="D29" s="42">
        <v>50000</v>
      </c>
      <c r="E29" s="5">
        <f t="shared" si="0"/>
        <v>352640.53922590509</v>
      </c>
      <c r="F29" s="5">
        <f>+E29*(1+(intérêts25!C$34)/(E$37))</f>
        <v>356116.14818350301</v>
      </c>
      <c r="G29" s="42"/>
      <c r="H29" s="5">
        <f t="shared" si="1"/>
        <v>356116.14818350301</v>
      </c>
      <c r="I29" s="5">
        <f>+H29*(1+(intérêts25!D$34)/(H$37))</f>
        <v>364378.71315007447</v>
      </c>
      <c r="J29" s="42">
        <v>97000</v>
      </c>
      <c r="K29" s="5">
        <f t="shared" si="2"/>
        <v>461378.71315007447</v>
      </c>
      <c r="L29" s="5">
        <f>+K29*(1+(intérêts25!E$34)/(K$37))</f>
        <v>468137.37242893688</v>
      </c>
      <c r="M29" s="42">
        <v>200000</v>
      </c>
      <c r="N29" s="5">
        <f t="shared" si="3"/>
        <v>668137.37242893688</v>
      </c>
      <c r="O29" s="5">
        <f>+N29*(1+(intérêts25!F$34)/(N$37))</f>
        <v>675961.51326244592</v>
      </c>
      <c r="P29" s="42">
        <v>50000</v>
      </c>
      <c r="Q29" s="5">
        <f t="shared" si="4"/>
        <v>725961.51326244592</v>
      </c>
      <c r="R29" s="5">
        <f>+Q29*(1+(intérêts25!G$34)/(Q$37))</f>
        <v>735441.40284442599</v>
      </c>
      <c r="S29" s="42"/>
      <c r="T29" s="5">
        <f t="shared" si="5"/>
        <v>735441.40284442599</v>
      </c>
      <c r="U29" s="5">
        <f>+T29*(1+(intérêts25!H$34)/(T$37))</f>
        <v>745273.84225832007</v>
      </c>
      <c r="V29" s="42"/>
      <c r="W29" s="5">
        <f t="shared" si="6"/>
        <v>745273.84225832007</v>
      </c>
      <c r="X29" s="5">
        <f>+W29*(1+(intérêts25!I$34)/(W$37))</f>
        <v>754115.84829091816</v>
      </c>
      <c r="Y29" s="42">
        <v>50000</v>
      </c>
      <c r="Z29" s="5">
        <f t="shared" si="7"/>
        <v>804115.84829091816</v>
      </c>
      <c r="AA29" s="5">
        <f>+Z29*(1+(intérêts25!J$34)/(Z$37))</f>
        <v>818888.25227730582</v>
      </c>
      <c r="AC29" s="5">
        <f t="shared" si="8"/>
        <v>818888.25227730582</v>
      </c>
      <c r="AD29" s="5">
        <f>+AC29*(1+(intérêts25!K$34)/(AC$37))</f>
        <v>833004.25256348483</v>
      </c>
      <c r="AF29" s="5">
        <f t="shared" si="9"/>
        <v>833004.25256348483</v>
      </c>
      <c r="AG29" s="5">
        <f>+AF29*(1+(intérêts25!L$34)/(AF$37))</f>
        <v>847383.22789553623</v>
      </c>
      <c r="AI29" s="5">
        <f t="shared" si="10"/>
        <v>847383.22789553623</v>
      </c>
      <c r="AJ29" s="42">
        <f>+AI29*(1+(intérêts25!M$34)/(AI$37))</f>
        <v>847383.22789553623</v>
      </c>
      <c r="AK29" s="41">
        <f t="shared" si="11"/>
        <v>747000</v>
      </c>
      <c r="AL29" s="58">
        <f t="shared" si="12"/>
        <v>100383.22789553623</v>
      </c>
      <c r="AM29" s="64">
        <f>Tableau44[[#This Row],[EP TOTALE]]+Tableau44[[#This Row],[INTERETS]]</f>
        <v>847383.22789553623</v>
      </c>
      <c r="AO29" s="69">
        <v>28</v>
      </c>
      <c r="AP29" s="69" t="s">
        <v>194</v>
      </c>
      <c r="AQ29" s="71">
        <v>747000</v>
      </c>
      <c r="AR29" s="71">
        <v>100383.22789553623</v>
      </c>
      <c r="AS29" s="71">
        <v>847383.22789553623</v>
      </c>
      <c r="AT29" s="71"/>
      <c r="AU29" s="69"/>
    </row>
    <row r="30" spans="1:47">
      <c r="A30" s="5" t="s">
        <v>195</v>
      </c>
      <c r="B30" s="42">
        <v>106000</v>
      </c>
      <c r="C30" s="5">
        <f>B30*(1+(intérêts25!B$34)/(B$37))</f>
        <v>106932.99052648646</v>
      </c>
      <c r="D30" s="42"/>
      <c r="E30" s="5">
        <f t="shared" si="0"/>
        <v>106932.99052648646</v>
      </c>
      <c r="F30" s="5">
        <f>+E30*(1+(intérêts25!C$34)/(E$37))</f>
        <v>107986.91716961273</v>
      </c>
      <c r="G30" s="42"/>
      <c r="H30" s="5">
        <f t="shared" si="1"/>
        <v>107986.91716961273</v>
      </c>
      <c r="I30" s="5">
        <f>+H30*(1+(intérêts25!D$34)/(H$37))</f>
        <v>110492.41691514499</v>
      </c>
      <c r="J30" s="42"/>
      <c r="K30" s="5">
        <f t="shared" si="2"/>
        <v>110492.41691514499</v>
      </c>
      <c r="L30" s="5">
        <f>+K30*(1+(intérêts25!E$34)/(K$37))</f>
        <v>112111.00177296996</v>
      </c>
      <c r="M30" s="42"/>
      <c r="N30" s="5">
        <f t="shared" si="3"/>
        <v>112111.00177296996</v>
      </c>
      <c r="O30" s="5">
        <f>+N30*(1+(intérêts25!F$34)/(N$37))</f>
        <v>113423.86392236393</v>
      </c>
      <c r="P30" s="42"/>
      <c r="Q30" s="5">
        <f t="shared" si="4"/>
        <v>113423.86392236393</v>
      </c>
      <c r="R30" s="5">
        <f>+Q30*(1+(intérêts25!G$34)/(Q$37))</f>
        <v>114904.99713163481</v>
      </c>
      <c r="S30" s="42"/>
      <c r="T30" s="5">
        <f t="shared" si="5"/>
        <v>114904.99713163481</v>
      </c>
      <c r="U30" s="5">
        <f>+T30*(1+(intérêts25!H$34)/(T$37))</f>
        <v>116441.21255040348</v>
      </c>
      <c r="V30" s="42"/>
      <c r="W30" s="5">
        <f t="shared" si="6"/>
        <v>116441.21255040348</v>
      </c>
      <c r="X30" s="5">
        <f>+W30*(1+(intérêts25!I$34)/(W$37))</f>
        <v>117822.6831527983</v>
      </c>
      <c r="Y30" s="42">
        <v>5000</v>
      </c>
      <c r="Z30" s="5">
        <f t="shared" si="7"/>
        <v>122822.6831527983</v>
      </c>
      <c r="AA30" s="5">
        <f>+Z30*(1+(intérêts25!J$34)/(Z$37))</f>
        <v>125079.05740295336</v>
      </c>
      <c r="AC30" s="5">
        <f t="shared" si="8"/>
        <v>125079.05740295336</v>
      </c>
      <c r="AD30" s="5">
        <f>+AC30*(1+(intérêts25!K$34)/(AC$37))</f>
        <v>127235.17089607645</v>
      </c>
      <c r="AF30" s="5">
        <f t="shared" si="9"/>
        <v>127235.17089607645</v>
      </c>
      <c r="AG30" s="5">
        <f>+AF30*(1+(intérêts25!L$34)/(AF$37))</f>
        <v>129431.4518610942</v>
      </c>
      <c r="AI30" s="5">
        <f t="shared" si="10"/>
        <v>129431.4518610942</v>
      </c>
      <c r="AJ30" s="42">
        <f>+AI30*(1+(intérêts25!M$34)/(AI$37))</f>
        <v>129431.4518610942</v>
      </c>
      <c r="AK30" s="41">
        <f t="shared" si="11"/>
        <v>111000</v>
      </c>
      <c r="AL30" s="58">
        <f t="shared" si="12"/>
        <v>18431.451861094203</v>
      </c>
      <c r="AM30" s="64">
        <f>Tableau44[[#This Row],[EP TOTALE]]+Tableau44[[#This Row],[INTERETS]]</f>
        <v>129431.4518610942</v>
      </c>
      <c r="AO30" s="69">
        <v>29</v>
      </c>
      <c r="AP30" s="70" t="s">
        <v>195</v>
      </c>
      <c r="AQ30" s="71">
        <v>111000</v>
      </c>
      <c r="AR30" s="71">
        <v>18431.451861094203</v>
      </c>
      <c r="AS30" s="71">
        <v>129431.4518610942</v>
      </c>
      <c r="AT30" s="71"/>
      <c r="AU30" s="69"/>
    </row>
    <row r="31" spans="1:47">
      <c r="A31" s="5" t="s">
        <v>196</v>
      </c>
      <c r="B31" s="42">
        <v>94000</v>
      </c>
      <c r="C31" s="5">
        <f>B31*(1+(intérêts25!B$34)/(B$37))</f>
        <v>94827.368957450264</v>
      </c>
      <c r="D31" s="42"/>
      <c r="E31" s="5">
        <f>+D31+C31</f>
        <v>94827.368957450264</v>
      </c>
      <c r="F31" s="5">
        <f>+E31*(1+(intérêts25!C$34)/(E$37))</f>
        <v>95761.983150411281</v>
      </c>
      <c r="G31" s="42"/>
      <c r="H31" s="5">
        <f>+F31+G31</f>
        <v>95761.983150411281</v>
      </c>
      <c r="I31" s="5">
        <f>+H31*(1+(intérêts25!D$34)/(H$37))</f>
        <v>97983.841415317249</v>
      </c>
      <c r="J31" s="42"/>
      <c r="K31" s="5">
        <f>+I31+J31</f>
        <v>97983.841415317249</v>
      </c>
      <c r="L31" s="5">
        <f>+K31*(1+(intérêts25!E$34)/(K$37))</f>
        <v>99419.190251501655</v>
      </c>
      <c r="M31" s="42"/>
      <c r="N31" s="5">
        <f>+L31+M31</f>
        <v>99419.190251501655</v>
      </c>
      <c r="O31" s="5">
        <f>+N31*(1+(intérêts25!F$34)/(N$37))</f>
        <v>100583.42649719065</v>
      </c>
      <c r="P31" s="42">
        <v>88000</v>
      </c>
      <c r="Q31" s="5">
        <f>+O31+P31</f>
        <v>188583.42649719067</v>
      </c>
      <c r="R31" s="5">
        <f>+Q31*(1+(intérêts25!G$34)/(Q$37))</f>
        <v>191046.02269206432</v>
      </c>
      <c r="S31" s="42"/>
      <c r="T31" s="5">
        <f>+R31+S31</f>
        <v>191046.02269206432</v>
      </c>
      <c r="U31" s="5">
        <f>+T31*(1+(intérêts25!H$34)/(T$37))</f>
        <v>193600.2009530651</v>
      </c>
      <c r="V31" s="42"/>
      <c r="W31" s="5">
        <f>+U31+V31</f>
        <v>193600.2009530651</v>
      </c>
      <c r="X31" s="5">
        <f>+W31*(1+(intérêts25!I$34)/(W$37))</f>
        <v>195897.09378315837</v>
      </c>
      <c r="Y31" s="42"/>
      <c r="Z31" s="5">
        <f>+X31+Y31</f>
        <v>195897.09378315837</v>
      </c>
      <c r="AA31" s="5">
        <f>+Z31*(1+(intérêts25!J$34)/(Z$37))</f>
        <v>199495.91728013929</v>
      </c>
      <c r="AC31" s="5">
        <f>+AA31+AB31</f>
        <v>199495.91728013929</v>
      </c>
      <c r="AD31" s="5">
        <f>+AC31*(1+(intérêts25!K$34)/(AC$37))</f>
        <v>202934.82902125479</v>
      </c>
      <c r="AF31" s="5">
        <f>+AD31+AE31</f>
        <v>202934.82902125479</v>
      </c>
      <c r="AG31" s="5">
        <f>+AF31*(1+(intérêts25!L$34)/(AF$37))</f>
        <v>206437.80621678632</v>
      </c>
      <c r="AI31" s="5">
        <f>+AG31+AH31</f>
        <v>206437.80621678632</v>
      </c>
      <c r="AJ31" s="42">
        <f>+AI31*(1+(intérêts25!M$34)/(AI$37))</f>
        <v>206437.80621678632</v>
      </c>
      <c r="AK31" s="41">
        <f t="shared" si="11"/>
        <v>182000</v>
      </c>
      <c r="AL31" s="58">
        <f t="shared" si="12"/>
        <v>24437.806216786325</v>
      </c>
      <c r="AM31" s="64">
        <f>Tableau44[[#This Row],[EP TOTALE]]+Tableau44[[#This Row],[INTERETS]]</f>
        <v>206437.80621678632</v>
      </c>
      <c r="AO31" s="69">
        <v>30</v>
      </c>
      <c r="AP31" s="69" t="s">
        <v>196</v>
      </c>
      <c r="AQ31" s="71">
        <v>182000</v>
      </c>
      <c r="AR31" s="71">
        <v>24437.806216786325</v>
      </c>
      <c r="AS31" s="71">
        <v>206437.80621678632</v>
      </c>
      <c r="AT31" s="71"/>
      <c r="AU31" s="69"/>
    </row>
    <row r="32" spans="1:47">
      <c r="A32" s="5" t="s">
        <v>86</v>
      </c>
      <c r="B32" s="42">
        <v>32800</v>
      </c>
      <c r="C32" s="5">
        <f>B32*(1+(intérêts25!B$34)/(B$37))</f>
        <v>33088.698955365624</v>
      </c>
      <c r="D32" s="42"/>
      <c r="E32" s="5">
        <f>+D32+C32</f>
        <v>33088.698955365624</v>
      </c>
      <c r="F32" s="5">
        <f>+E32*(1+(intérêts25!C$34)/(E$37))</f>
        <v>33414.819652483937</v>
      </c>
      <c r="G32" s="42"/>
      <c r="H32" s="5">
        <f>+F32+G32</f>
        <v>33414.819652483937</v>
      </c>
      <c r="I32" s="5">
        <f>+H32*(1+(intérêts25!D$34)/(H$37))</f>
        <v>34190.106366195811</v>
      </c>
      <c r="J32" s="42"/>
      <c r="K32" s="5">
        <f>+I32+J32</f>
        <v>34190.106366195811</v>
      </c>
      <c r="L32" s="5">
        <f>+K32*(1+(intérêts25!E$34)/(K$37))</f>
        <v>34690.951492013344</v>
      </c>
      <c r="M32" s="42"/>
      <c r="N32" s="5">
        <f>+L32+M32</f>
        <v>34690.951492013344</v>
      </c>
      <c r="O32" s="5">
        <f>+N32*(1+(intérêts25!F$34)/(N$37))</f>
        <v>35097.195628806949</v>
      </c>
      <c r="P32" s="42"/>
      <c r="Q32" s="5">
        <f>+O32+P32</f>
        <v>35097.195628806949</v>
      </c>
      <c r="R32" s="5">
        <f>+Q32*(1+(intérêts25!G$34)/(Q$37))</f>
        <v>35555.508546392652</v>
      </c>
      <c r="S32" s="42">
        <v>100000</v>
      </c>
      <c r="T32" s="5">
        <f>+R32+S32</f>
        <v>135555.50854639267</v>
      </c>
      <c r="U32" s="5">
        <f>+T32*(1+(intérêts25!H$34)/(T$37))</f>
        <v>137367.80973020833</v>
      </c>
      <c r="V32" s="42"/>
      <c r="W32" s="5">
        <f>+U32+V32</f>
        <v>137367.80973020833</v>
      </c>
      <c r="X32" s="5">
        <f>+W32*(1+(intérêts25!I$34)/(W$37))</f>
        <v>138997.55564835138</v>
      </c>
      <c r="Y32" s="42"/>
      <c r="Z32" s="5">
        <f>+X32+Y32</f>
        <v>138997.55564835138</v>
      </c>
      <c r="AA32" s="5">
        <f>+Z32*(1+(intérêts25!J$34)/(Z$37))</f>
        <v>141551.07831491993</v>
      </c>
      <c r="AC32" s="5">
        <f>+AA32+AB32</f>
        <v>141551.07831491993</v>
      </c>
      <c r="AD32" s="5">
        <f>+AC32*(1+(intérêts25!K$34)/(AC$37))</f>
        <v>143991.13659692067</v>
      </c>
      <c r="AE32" s="5">
        <v>2000</v>
      </c>
      <c r="AF32" s="5">
        <f>+AD32+AE32</f>
        <v>145991.13659692067</v>
      </c>
      <c r="AG32" s="5">
        <f>+AF32*(1+(intérêts25!L$34)/(AF$37))</f>
        <v>148511.17529464062</v>
      </c>
      <c r="AI32" s="5">
        <f>+AG32+AH32</f>
        <v>148511.17529464062</v>
      </c>
      <c r="AJ32" s="42">
        <f>+AI32*(1+(intérêts25!M$34)/(AI$37))</f>
        <v>148511.17529464062</v>
      </c>
      <c r="AK32" s="41">
        <f t="shared" si="11"/>
        <v>134800</v>
      </c>
      <c r="AL32" s="58">
        <f t="shared" si="12"/>
        <v>13711.17529464062</v>
      </c>
      <c r="AM32" s="64">
        <f>Tableau44[[#This Row],[EP TOTALE]]+Tableau44[[#This Row],[INTERETS]]</f>
        <v>148511.17529464062</v>
      </c>
      <c r="AO32" s="69">
        <v>31</v>
      </c>
      <c r="AP32" s="70" t="s">
        <v>86</v>
      </c>
      <c r="AQ32" s="71">
        <v>134800</v>
      </c>
      <c r="AR32" s="71">
        <v>13711.17529464062</v>
      </c>
      <c r="AS32" s="71">
        <v>148511.17529464062</v>
      </c>
      <c r="AT32" s="71"/>
      <c r="AU32" s="69"/>
    </row>
    <row r="33" spans="1:47">
      <c r="A33" s="16" t="s">
        <v>197</v>
      </c>
      <c r="B33" s="44">
        <v>104000</v>
      </c>
      <c r="C33" s="5">
        <f>B33*(1+(intérêts25!B$34)/(B$37))</f>
        <v>104915.3869316471</v>
      </c>
      <c r="D33" s="44"/>
      <c r="E33" s="16">
        <f t="shared" ref="E33:E36" si="13">+D33+C33</f>
        <v>104915.3869316471</v>
      </c>
      <c r="F33" s="5">
        <f>+E33*(1+(intérêts25!C$34)/(E$37))</f>
        <v>105949.42816641249</v>
      </c>
      <c r="G33" s="44"/>
      <c r="H33" s="16">
        <f t="shared" ref="H33:H36" si="14">+F33+G33</f>
        <v>105949.42816641249</v>
      </c>
      <c r="I33" s="5">
        <f>+H33*(1+(intérêts25!D$34)/(H$37))</f>
        <v>108407.65433184037</v>
      </c>
      <c r="J33" s="44">
        <v>140000</v>
      </c>
      <c r="K33" s="16">
        <f t="shared" ref="K33:K36" si="15">+I33+J33</f>
        <v>248407.65433184037</v>
      </c>
      <c r="L33" s="16">
        <f>+K33*(1+(intérêts25!E$34)/(K$37))</f>
        <v>252046.53633926457</v>
      </c>
      <c r="M33" s="44">
        <v>100000</v>
      </c>
      <c r="N33" s="16">
        <f t="shared" ref="N33:N36" si="16">+L33+M33</f>
        <v>352046.5363392646</v>
      </c>
      <c r="O33" s="16">
        <f>+N33*(1+(intérêts25!F$34)/(N$37))</f>
        <v>356169.13416709442</v>
      </c>
      <c r="P33" s="44"/>
      <c r="Q33" s="16">
        <f t="shared" ref="Q33:Q36" si="17">+O33+P33</f>
        <v>356169.13416709442</v>
      </c>
      <c r="R33" s="16">
        <f>+Q33*(1+(intérêts25!G$34)/(Q$37))</f>
        <v>360820.13012587448</v>
      </c>
      <c r="S33" s="44"/>
      <c r="T33" s="16">
        <f t="shared" ref="T33:T35" si="18">+R33+S33</f>
        <v>360820.13012587448</v>
      </c>
      <c r="U33" s="16">
        <f>+T33*(1+(intérêts25!H$34)/(T$37))</f>
        <v>365644.09306167689</v>
      </c>
      <c r="V33" s="44"/>
      <c r="W33" s="16">
        <f t="shared" ref="W33:W36" si="19">+U33+V33</f>
        <v>365644.09306167689</v>
      </c>
      <c r="X33" s="16">
        <f>+W33*(1+(intérêts25!I$34)/(W$37))</f>
        <v>369982.13244172343</v>
      </c>
      <c r="Y33" s="44"/>
      <c r="Z33" s="16">
        <f t="shared" ref="Z33:Z36" si="20">+X33+Y33</f>
        <v>369982.13244172343</v>
      </c>
      <c r="AA33" s="16">
        <f>+Z33*(1+(intérêts25!J$34)/(Z$37))</f>
        <v>376779.07039511763</v>
      </c>
      <c r="AB33" s="16"/>
      <c r="AC33" s="16">
        <f t="shared" ref="AC33:AC36" si="21">+AA33+AB33</f>
        <v>376779.07039511763</v>
      </c>
      <c r="AD33" s="16">
        <f>+AC33*(1+(intérêts25!K$34)/(AC$37))</f>
        <v>383273.99012407067</v>
      </c>
      <c r="AE33" s="16"/>
      <c r="AF33" s="16">
        <f t="shared" ref="AF33:AF36" si="22">+AD33+AE33</f>
        <v>383273.99012407067</v>
      </c>
      <c r="AG33" s="16">
        <f>+AF33*(1+(intérêts25!L$34)/(AF$37))</f>
        <v>389889.9074287556</v>
      </c>
      <c r="AI33" s="16">
        <f t="shared" ref="AI33:AI36" si="23">+AG33+AH33</f>
        <v>389889.9074287556</v>
      </c>
      <c r="AJ33" s="44">
        <f>+AI33*(1+(intérêts25!M$34)/(AI$37))</f>
        <v>389889.9074287556</v>
      </c>
      <c r="AK33" s="41">
        <f t="shared" si="11"/>
        <v>344000</v>
      </c>
      <c r="AL33" s="66">
        <f t="shared" si="12"/>
        <v>45889.9074287556</v>
      </c>
      <c r="AM33" s="67">
        <f>Tableau44[[#This Row],[EP TOTALE]]+Tableau44[[#This Row],[INTERETS]]</f>
        <v>389889.9074287556</v>
      </c>
      <c r="AO33" s="69">
        <v>32</v>
      </c>
      <c r="AP33" s="69" t="s">
        <v>197</v>
      </c>
      <c r="AQ33" s="71">
        <v>344000</v>
      </c>
      <c r="AR33" s="71">
        <v>45889.9074287556</v>
      </c>
      <c r="AS33" s="71">
        <v>389889.9074287556</v>
      </c>
      <c r="AT33" s="71"/>
      <c r="AU33" s="69"/>
    </row>
    <row r="34" spans="1:47">
      <c r="A34" s="5" t="s">
        <v>165</v>
      </c>
      <c r="B34" s="42">
        <v>500000</v>
      </c>
      <c r="C34" s="5">
        <f>B34*(1+(intérêts25!B$34)/(B$37))</f>
        <v>504400.89870984183</v>
      </c>
      <c r="D34" s="44"/>
      <c r="E34" s="16">
        <f t="shared" si="13"/>
        <v>504400.89870984183</v>
      </c>
      <c r="F34" s="16">
        <f>+E34*(1+(intérêts25!C$34)/(E$37))</f>
        <v>509372.25080006005</v>
      </c>
      <c r="G34" s="44"/>
      <c r="H34" s="16">
        <f t="shared" si="14"/>
        <v>509372.25080006005</v>
      </c>
      <c r="I34" s="5">
        <f>+H34*(1+(intérêts25!D$34)/(H$37))</f>
        <v>521190.64582615561</v>
      </c>
      <c r="J34" s="44"/>
      <c r="K34" s="16">
        <f t="shared" si="15"/>
        <v>521190.64582615561</v>
      </c>
      <c r="L34" s="16">
        <f>+K34*(1+(intérêts25!E$34)/(K$37))</f>
        <v>528825.48006117903</v>
      </c>
      <c r="M34" s="44"/>
      <c r="N34" s="16">
        <f t="shared" si="16"/>
        <v>528825.48006117903</v>
      </c>
      <c r="O34" s="16">
        <f>+N34*(1+(intérêts25!F$34)/(N$37))</f>
        <v>535018.22604888643</v>
      </c>
      <c r="P34" s="44"/>
      <c r="Q34" s="16">
        <f t="shared" si="17"/>
        <v>535018.22604888643</v>
      </c>
      <c r="R34" s="16">
        <f>+Q34*(1+(intérêts25!G$34)/(Q$37))</f>
        <v>542004.70345110749</v>
      </c>
      <c r="S34" s="44"/>
      <c r="T34" s="16">
        <f t="shared" si="18"/>
        <v>542004.70345110749</v>
      </c>
      <c r="U34" s="16">
        <f>+T34*(1+(intérêts25!H$34)/(T$37))</f>
        <v>549251.0025962427</v>
      </c>
      <c r="V34" s="44"/>
      <c r="W34" s="16">
        <f t="shared" si="19"/>
        <v>549251.0025962427</v>
      </c>
      <c r="X34" s="16">
        <f>+W34*(1+(intérêts25!I$34)/(W$37))</f>
        <v>555767.37336225598</v>
      </c>
      <c r="Y34" s="44"/>
      <c r="Z34" s="16">
        <f t="shared" si="20"/>
        <v>555767.37336225598</v>
      </c>
      <c r="AA34" s="16">
        <f>+Z34*(1+(intérêts25!J$34)/(Z$37))</f>
        <v>565977.37006759457</v>
      </c>
      <c r="AB34" s="16"/>
      <c r="AC34" s="16">
        <f t="shared" si="21"/>
        <v>565977.37006759457</v>
      </c>
      <c r="AD34" s="16">
        <f>+AC34*(1+(intérêts25!K$34)/(AC$37))</f>
        <v>575733.69114757935</v>
      </c>
      <c r="AE34" s="16"/>
      <c r="AF34" s="16">
        <f t="shared" si="22"/>
        <v>575733.69114757935</v>
      </c>
      <c r="AG34" s="16">
        <f>+AF34*(1+(intérêts25!L$34)/(AF$37))</f>
        <v>585671.76831509173</v>
      </c>
      <c r="AI34" s="16">
        <f t="shared" si="23"/>
        <v>585671.76831509173</v>
      </c>
      <c r="AJ34" s="44">
        <f>+AI34*(1+(intérêts25!M$34)/(AI$37))</f>
        <v>585671.76831509173</v>
      </c>
      <c r="AK34" s="41">
        <f t="shared" si="11"/>
        <v>500000</v>
      </c>
      <c r="AL34" s="66">
        <f t="shared" si="12"/>
        <v>85671.768315091729</v>
      </c>
      <c r="AM34" s="67">
        <f>Tableau44[[#This Row],[EP TOTALE]]+Tableau44[[#This Row],[INTERETS]]</f>
        <v>585671.76831509173</v>
      </c>
      <c r="AO34" s="69">
        <v>33</v>
      </c>
      <c r="AP34" s="70" t="s">
        <v>165</v>
      </c>
      <c r="AQ34" s="71">
        <v>500000</v>
      </c>
      <c r="AR34" s="71">
        <v>85671.768315091729</v>
      </c>
      <c r="AS34" s="71">
        <v>585671.76831509173</v>
      </c>
      <c r="AT34" s="71"/>
      <c r="AU34" s="69"/>
    </row>
    <row r="35" spans="1:47">
      <c r="A35" s="16" t="s">
        <v>85</v>
      </c>
      <c r="B35" s="44">
        <v>410000</v>
      </c>
      <c r="C35" s="5">
        <f>B35*(1+(intérêts25!B$34)/(B$37))</f>
        <v>413608.7369420703</v>
      </c>
      <c r="D35" s="44"/>
      <c r="E35" s="16">
        <f t="shared" si="13"/>
        <v>413608.7369420703</v>
      </c>
      <c r="F35" s="16">
        <f>+E35*(1+(intérêts25!C$34)/(E$37))</f>
        <v>417685.24565604923</v>
      </c>
      <c r="G35" s="44"/>
      <c r="H35" s="16">
        <f t="shared" si="14"/>
        <v>417685.24565604923</v>
      </c>
      <c r="I35" s="5">
        <f>+H35*(1+(intérêts25!D$34)/(H$37))</f>
        <v>427376.32957744761</v>
      </c>
      <c r="J35" s="44"/>
      <c r="K35" s="16">
        <f t="shared" si="15"/>
        <v>427376.32957744761</v>
      </c>
      <c r="L35" s="16">
        <f>+K35*(1+(intérêts25!E$34)/(K$37))</f>
        <v>433636.89365016681</v>
      </c>
      <c r="M35" s="44"/>
      <c r="N35" s="16">
        <f t="shared" si="16"/>
        <v>433636.89365016681</v>
      </c>
      <c r="O35" s="16">
        <f>+N35*(1+(intérêts25!F$34)/(N$37))</f>
        <v>438714.94536008692</v>
      </c>
      <c r="P35" s="44"/>
      <c r="Q35" s="16">
        <f t="shared" si="17"/>
        <v>438714.94536008692</v>
      </c>
      <c r="R35" s="16">
        <f>+Q35*(1+(intérêts25!G$34)/(Q$37))</f>
        <v>444443.85682990821</v>
      </c>
      <c r="S35" s="44"/>
      <c r="T35" s="16">
        <f t="shared" si="18"/>
        <v>444443.85682990821</v>
      </c>
      <c r="U35" s="16">
        <f>+T35*(1+(intérêts25!H$34)/(T$37))</f>
        <v>450385.82212891913</v>
      </c>
      <c r="V35" s="44"/>
      <c r="W35" s="16">
        <f t="shared" si="19"/>
        <v>450385.82212891913</v>
      </c>
      <c r="X35" s="16">
        <f>+W35*(1+(intérêts25!I$34)/(W$37))</f>
        <v>455729.24615705002</v>
      </c>
      <c r="Y35" s="44"/>
      <c r="Z35" s="16">
        <f t="shared" si="20"/>
        <v>455729.24615705002</v>
      </c>
      <c r="AA35" s="16">
        <f>+Z35*(1+(intérêts25!J$34)/(Z$37))</f>
        <v>464101.44345542765</v>
      </c>
      <c r="AB35" s="16"/>
      <c r="AC35" s="16">
        <f t="shared" si="21"/>
        <v>464101.44345542765</v>
      </c>
      <c r="AD35" s="16">
        <f>+AC35*(1+(intérêts25!K$34)/(AC$37))</f>
        <v>472101.62674101518</v>
      </c>
      <c r="AE35" s="16"/>
      <c r="AF35" s="16">
        <f t="shared" si="22"/>
        <v>472101.62674101518</v>
      </c>
      <c r="AG35" s="16">
        <f>+AF35*(1+(intérêts25!L$34)/(AF$37))</f>
        <v>480250.85001837538</v>
      </c>
      <c r="AI35" s="16">
        <f t="shared" si="23"/>
        <v>480250.85001837538</v>
      </c>
      <c r="AJ35" s="44">
        <f>+AI35*(1+(intérêts25!M$34)/(AI$37))</f>
        <v>480250.85001837538</v>
      </c>
      <c r="AK35" s="41">
        <f t="shared" si="11"/>
        <v>410000</v>
      </c>
      <c r="AL35" s="66">
        <f t="shared" si="12"/>
        <v>70250.850018375379</v>
      </c>
      <c r="AM35" s="67">
        <f>Tableau44[[#This Row],[EP TOTALE]]+Tableau44[[#This Row],[INTERETS]]</f>
        <v>480250.85001837538</v>
      </c>
      <c r="AO35" s="69">
        <v>34</v>
      </c>
      <c r="AP35" s="69" t="s">
        <v>85</v>
      </c>
      <c r="AQ35" s="71">
        <v>410000</v>
      </c>
      <c r="AR35" s="71">
        <v>70250.850018375379</v>
      </c>
      <c r="AS35" s="71">
        <v>480250.85001837538</v>
      </c>
      <c r="AT35" s="71"/>
      <c r="AU35" s="69"/>
    </row>
    <row r="36" spans="1:47">
      <c r="A36" s="16" t="s">
        <v>166</v>
      </c>
      <c r="B36" s="44"/>
      <c r="C36" s="5">
        <f>B36*(1+(intérêts25!B$34)/(B$37))</f>
        <v>0</v>
      </c>
      <c r="D36" s="44"/>
      <c r="E36" s="16">
        <f t="shared" si="13"/>
        <v>0</v>
      </c>
      <c r="F36" s="16">
        <f>+E36*(1+(intérêts25!C$34)/(E$37))</f>
        <v>0</v>
      </c>
      <c r="G36" s="44"/>
      <c r="H36" s="16">
        <f t="shared" si="14"/>
        <v>0</v>
      </c>
      <c r="I36" s="16">
        <f>+H36*(1+(intérêts25!D$34)/(H$37))</f>
        <v>0</v>
      </c>
      <c r="J36" s="44"/>
      <c r="K36" s="16">
        <f t="shared" si="15"/>
        <v>0</v>
      </c>
      <c r="L36" s="16">
        <f>+K36*(1+(intérêts25!E$34)/(K$37))</f>
        <v>0</v>
      </c>
      <c r="M36" s="44"/>
      <c r="N36" s="16">
        <f t="shared" si="16"/>
        <v>0</v>
      </c>
      <c r="O36" s="16">
        <f>+N36*(1+(intérêts25!F$34)/(N$37))</f>
        <v>0</v>
      </c>
      <c r="P36" s="44"/>
      <c r="Q36" s="16">
        <f t="shared" si="17"/>
        <v>0</v>
      </c>
      <c r="R36" s="16">
        <f>+Q36*(1+(intérêts25!G$34)/(Q$37))</f>
        <v>0</v>
      </c>
      <c r="S36" s="44"/>
      <c r="T36" s="16">
        <f>+R36+S36</f>
        <v>0</v>
      </c>
      <c r="U36" s="16">
        <f>+T36*(1+(intérêts25!H$34)/(T$37))</f>
        <v>0</v>
      </c>
      <c r="V36" s="44"/>
      <c r="W36" s="16">
        <f t="shared" si="19"/>
        <v>0</v>
      </c>
      <c r="X36" s="16">
        <f>+W36*(1+(intérêts25!I$34)/(W$37))</f>
        <v>0</v>
      </c>
      <c r="Y36" s="44"/>
      <c r="Z36" s="16">
        <f t="shared" si="20"/>
        <v>0</v>
      </c>
      <c r="AA36" s="16">
        <f>+Z36*(1+(intérêts25!J$34)/(Z$37))</f>
        <v>0</v>
      </c>
      <c r="AB36" s="16"/>
      <c r="AC36" s="16">
        <f t="shared" si="21"/>
        <v>0</v>
      </c>
      <c r="AD36" s="16">
        <f>+AC36*(1+(intérêts25!K$34)/(AC$37))</f>
        <v>0</v>
      </c>
      <c r="AE36" s="16"/>
      <c r="AF36" s="16">
        <f t="shared" si="22"/>
        <v>0</v>
      </c>
      <c r="AG36" s="16">
        <f>+AF36*(1+(intérêts25!L$34)/(AF$37))</f>
        <v>0</v>
      </c>
      <c r="AI36" s="16">
        <f t="shared" si="23"/>
        <v>0</v>
      </c>
      <c r="AJ36" s="44">
        <f>+AI36*(1+(intérêts25!M$34)/(AI$37))</f>
        <v>0</v>
      </c>
      <c r="AK36" s="41">
        <f t="shared" si="11"/>
        <v>0</v>
      </c>
      <c r="AL36" s="66">
        <f t="shared" si="12"/>
        <v>0</v>
      </c>
      <c r="AM36" s="67">
        <f>Tableau44[[#This Row],[EP TOTALE]]+Tableau44[[#This Row],[INTERETS]]</f>
        <v>0</v>
      </c>
      <c r="AO36" s="69">
        <v>35</v>
      </c>
      <c r="AP36" s="70" t="s">
        <v>166</v>
      </c>
      <c r="AQ36" s="71">
        <v>0</v>
      </c>
      <c r="AR36" s="71">
        <v>0</v>
      </c>
      <c r="AS36" s="71">
        <v>0</v>
      </c>
      <c r="AT36" s="71"/>
      <c r="AU36" s="69"/>
    </row>
    <row r="37" spans="1:47">
      <c r="A37" s="5" t="s">
        <v>43</v>
      </c>
      <c r="B37" s="43">
        <f>SUM(B2:B36)</f>
        <v>4317300</v>
      </c>
      <c r="C37" s="42">
        <f>B37*(1+(intérêts25!B$34)/(B$37))</f>
        <v>4355300</v>
      </c>
      <c r="D37" s="43">
        <f>SUM(D2:D36)</f>
        <v>1497000</v>
      </c>
      <c r="E37" s="42">
        <f t="shared" si="0"/>
        <v>5852300</v>
      </c>
      <c r="F37" s="42">
        <f>+E37*(1+(intérêts25!C$34)/(E$37))</f>
        <v>5909980.0000000009</v>
      </c>
      <c r="G37" s="43">
        <f>+SUM(G2:G36)</f>
        <v>1179100</v>
      </c>
      <c r="H37" s="42">
        <f t="shared" si="1"/>
        <v>7089080.0000000009</v>
      </c>
      <c r="I37" s="42">
        <f>+H37*(1+(intérêts25!D$34)/(H$37))</f>
        <v>7253560.0000000009</v>
      </c>
      <c r="J37" s="43">
        <f>SUM(J2:J36)</f>
        <v>1954000</v>
      </c>
      <c r="K37" s="42">
        <f t="shared" si="2"/>
        <v>9207560</v>
      </c>
      <c r="L37" s="42">
        <f>+K37*(1+(intérêts25!E$34)/(K$37))</f>
        <v>9342440</v>
      </c>
      <c r="M37" s="43">
        <f>SUM(M2:M36)</f>
        <v>1407000</v>
      </c>
      <c r="N37" s="42">
        <f t="shared" si="3"/>
        <v>10749440</v>
      </c>
      <c r="O37" s="42">
        <f>+N37*(1+(intérêts25!F$34)/(N$37))</f>
        <v>10875320.000000002</v>
      </c>
      <c r="P37" s="43">
        <f>+SUM(P2:P36)</f>
        <v>973000</v>
      </c>
      <c r="Q37" s="42">
        <f t="shared" si="4"/>
        <v>11848320.000000002</v>
      </c>
      <c r="R37" s="42">
        <f>+Q37*(1+(intérêts25!G$34)/(Q$37))</f>
        <v>12003040.000000004</v>
      </c>
      <c r="S37" s="43">
        <f>+SUM(S2:S36)</f>
        <v>907000</v>
      </c>
      <c r="T37" s="42">
        <f t="shared" si="5"/>
        <v>12910040.000000004</v>
      </c>
      <c r="U37" s="42">
        <f>+T37*(1+(intérêts25!H$34)/(T$37))</f>
        <v>13082640.000000006</v>
      </c>
      <c r="V37" s="43">
        <f>+SUM(V2:V36)</f>
        <v>1897000</v>
      </c>
      <c r="W37" s="42">
        <f t="shared" si="6"/>
        <v>14979640.000000006</v>
      </c>
      <c r="X37" s="42">
        <f>+W37*(1+(intérêts25!I$34)/(W$37))</f>
        <v>15157360.000000004</v>
      </c>
      <c r="Y37" s="43">
        <f>+SUM(Y2:Y36)</f>
        <v>955000</v>
      </c>
      <c r="Z37" s="42">
        <f t="shared" si="7"/>
        <v>16112360.000000004</v>
      </c>
      <c r="AA37" s="42">
        <f>+Z37*(1+(intérêts25!J$34)/(Z$37))</f>
        <v>16408360.000000006</v>
      </c>
      <c r="AB37" s="43">
        <f>+SUM(AB2:AB36)</f>
        <v>763000</v>
      </c>
      <c r="AC37" s="42">
        <f t="shared" si="8"/>
        <v>17171360.000000007</v>
      </c>
      <c r="AD37" s="42">
        <f>+AC37*(1+(intérêts25!K$34)/(AC$37))</f>
        <v>17467360.000000007</v>
      </c>
      <c r="AE37" s="43">
        <f>+SUM(AE2:AE35)</f>
        <v>962000</v>
      </c>
      <c r="AF37" s="42">
        <f t="shared" si="9"/>
        <v>18429360.000000007</v>
      </c>
      <c r="AG37" s="42">
        <f>+AF37*(1+(intérêts25!L$34)/(AF$37))</f>
        <v>18747480.000000004</v>
      </c>
      <c r="AH37" s="43">
        <f>+SUM(AH2:AH36)</f>
        <v>0</v>
      </c>
      <c r="AI37" s="42">
        <f t="shared" si="10"/>
        <v>18747480.000000004</v>
      </c>
      <c r="AJ37" s="42">
        <f>+AI37*(1+(intérêts25!M$34)/(AI$37))</f>
        <v>18747480.000000004</v>
      </c>
      <c r="AK37" s="41">
        <f>+SUM(AK2:AK36)</f>
        <v>16811400</v>
      </c>
      <c r="AL37" s="58">
        <f t="shared" si="12"/>
        <v>1936080.0000000037</v>
      </c>
      <c r="AM37" s="64">
        <f>Tableau44[[#This Row],[EP TOTALE]]+Tableau44[[#This Row],[INTERETS]]</f>
        <v>18747480.000000004</v>
      </c>
      <c r="AO37" s="69">
        <v>36</v>
      </c>
      <c r="AP37" s="69" t="s">
        <v>43</v>
      </c>
      <c r="AQ37" s="71">
        <v>16811400</v>
      </c>
      <c r="AR37" s="71">
        <v>1936080.0000000037</v>
      </c>
      <c r="AS37" s="71">
        <v>18747480.000000004</v>
      </c>
      <c r="AT37" s="71"/>
      <c r="AU37" s="69"/>
    </row>
    <row r="38" spans="1:47">
      <c r="AG38" s="4"/>
      <c r="AH38" s="4"/>
      <c r="AI38" s="4"/>
      <c r="AJ38" s="5">
        <f>AJ40/AJ35</f>
        <v>0</v>
      </c>
    </row>
    <row r="39" spans="1:47">
      <c r="G39" s="42">
        <v>1179100</v>
      </c>
      <c r="J39" s="42">
        <v>1954000</v>
      </c>
      <c r="M39" s="42">
        <v>1407000</v>
      </c>
      <c r="P39" s="42">
        <v>973000</v>
      </c>
      <c r="S39" s="42">
        <v>907000</v>
      </c>
      <c r="V39" s="42">
        <v>1897000</v>
      </c>
      <c r="Y39" s="42">
        <v>955000</v>
      </c>
      <c r="AF39" s="5" t="s">
        <v>78</v>
      </c>
      <c r="AG39" s="4"/>
      <c r="AH39" s="4"/>
      <c r="AI39" s="4"/>
      <c r="AJ39" s="4"/>
      <c r="AL39" s="65">
        <v>2386080</v>
      </c>
    </row>
    <row r="40" spans="1:47">
      <c r="B40" s="60">
        <f>B44/B37</f>
        <v>8.8017974196835987E-3</v>
      </c>
    </row>
    <row r="44" spans="1:47">
      <c r="B44" s="5">
        <v>38000</v>
      </c>
      <c r="C44" s="5">
        <v>57680</v>
      </c>
      <c r="D44" s="5">
        <v>168480</v>
      </c>
      <c r="E44" s="5">
        <v>188880</v>
      </c>
      <c r="F44" s="5">
        <v>229880</v>
      </c>
      <c r="G44" s="5">
        <v>258720</v>
      </c>
      <c r="H44" s="5">
        <v>276600</v>
      </c>
      <c r="I44" s="5">
        <v>281720</v>
      </c>
      <c r="J44" s="5">
        <v>313600</v>
      </c>
      <c r="K44" s="5">
        <v>321600</v>
      </c>
      <c r="L44" s="5">
        <v>333320</v>
      </c>
      <c r="M44" s="5">
        <v>0</v>
      </c>
      <c r="N44" s="5">
        <v>2468480</v>
      </c>
    </row>
  </sheetData>
  <phoneticPr fontId="1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F11" sqref="F11"/>
    </sheetView>
  </sheetViews>
  <sheetFormatPr baseColWidth="10" defaultRowHeight="15"/>
  <cols>
    <col min="1" max="1" width="24.140625" customWidth="1"/>
    <col min="2" max="3" width="11.5703125" customWidth="1"/>
    <col min="4" max="13" width="11.5703125" bestFit="1" customWidth="1"/>
    <col min="14" max="14" width="12.85546875" bestFit="1" customWidth="1"/>
    <col min="15" max="15" width="17.42578125" customWidth="1"/>
  </cols>
  <sheetData>
    <row r="1" spans="1:16">
      <c r="A1" t="s">
        <v>80</v>
      </c>
      <c r="B1" s="38" t="s">
        <v>65</v>
      </c>
      <c r="C1" s="38" t="s">
        <v>66</v>
      </c>
      <c r="D1" s="38" t="s">
        <v>67</v>
      </c>
      <c r="E1" s="38" t="s">
        <v>81</v>
      </c>
      <c r="F1" s="38" t="s">
        <v>82</v>
      </c>
      <c r="G1" s="38" t="s">
        <v>58</v>
      </c>
      <c r="H1" s="38" t="s">
        <v>59</v>
      </c>
      <c r="I1" s="38" t="s">
        <v>60</v>
      </c>
      <c r="J1" s="38" t="s">
        <v>61</v>
      </c>
      <c r="K1" s="38" t="s">
        <v>62</v>
      </c>
      <c r="L1" s="38" t="s">
        <v>63</v>
      </c>
      <c r="M1" s="38" t="s">
        <v>64</v>
      </c>
      <c r="N1" s="38" t="s">
        <v>55</v>
      </c>
    </row>
    <row r="2" spans="1:16">
      <c r="A2" s="22" t="s">
        <v>167</v>
      </c>
      <c r="B2" s="39">
        <v>0</v>
      </c>
      <c r="C2" s="40">
        <v>0</v>
      </c>
      <c r="D2" s="40">
        <v>0</v>
      </c>
      <c r="E2" s="39">
        <v>400000</v>
      </c>
      <c r="F2" s="45">
        <v>400000</v>
      </c>
      <c r="G2" s="45">
        <v>400000</v>
      </c>
      <c r="H2" s="45">
        <v>400000</v>
      </c>
      <c r="I2" s="45">
        <v>400000</v>
      </c>
      <c r="J2" s="45">
        <v>400000</v>
      </c>
      <c r="K2" s="45">
        <v>400000</v>
      </c>
      <c r="L2" s="40">
        <v>300000</v>
      </c>
      <c r="M2" s="40">
        <v>0</v>
      </c>
      <c r="N2" s="41">
        <f>L2</f>
        <v>300000</v>
      </c>
      <c r="P2">
        <v>400000</v>
      </c>
    </row>
    <row r="3" spans="1:16">
      <c r="A3" s="5" t="s">
        <v>168</v>
      </c>
      <c r="B3" s="39">
        <v>0</v>
      </c>
      <c r="C3" s="40">
        <v>0</v>
      </c>
      <c r="D3" s="40">
        <v>0</v>
      </c>
      <c r="E3" s="39">
        <v>0</v>
      </c>
      <c r="F3" s="39">
        <v>0</v>
      </c>
      <c r="G3" s="40">
        <v>0</v>
      </c>
      <c r="H3" s="40">
        <v>300000</v>
      </c>
      <c r="I3" s="49">
        <v>300000</v>
      </c>
      <c r="J3" s="49">
        <v>300000</v>
      </c>
      <c r="K3" s="49">
        <v>300000</v>
      </c>
      <c r="L3" s="49">
        <v>300000</v>
      </c>
      <c r="M3" s="40">
        <v>0</v>
      </c>
      <c r="N3" s="41">
        <f t="shared" ref="N3:N33" si="0">L3</f>
        <v>300000</v>
      </c>
      <c r="P3">
        <v>300000</v>
      </c>
    </row>
    <row r="4" spans="1:16">
      <c r="A4" s="22" t="s">
        <v>169</v>
      </c>
      <c r="B4" s="39">
        <v>0</v>
      </c>
      <c r="C4" s="40">
        <v>0</v>
      </c>
      <c r="D4" s="40">
        <v>0</v>
      </c>
      <c r="E4" s="39">
        <v>0</v>
      </c>
      <c r="F4" s="39">
        <v>0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1">
        <f t="shared" si="0"/>
        <v>0</v>
      </c>
      <c r="P4">
        <v>0</v>
      </c>
    </row>
    <row r="5" spans="1:16">
      <c r="A5" s="5" t="s">
        <v>170</v>
      </c>
      <c r="B5" s="39">
        <v>0</v>
      </c>
      <c r="C5" s="40">
        <v>0</v>
      </c>
      <c r="D5" s="40">
        <v>0</v>
      </c>
      <c r="E5" s="39">
        <v>150000</v>
      </c>
      <c r="F5" s="45">
        <v>150000</v>
      </c>
      <c r="G5" s="45">
        <v>150000</v>
      </c>
      <c r="H5" s="45">
        <v>150000</v>
      </c>
      <c r="I5" s="40">
        <v>300000</v>
      </c>
      <c r="J5" s="49">
        <v>300000</v>
      </c>
      <c r="K5" s="49">
        <v>300000</v>
      </c>
      <c r="L5" s="53">
        <v>0</v>
      </c>
      <c r="M5" s="40">
        <v>0</v>
      </c>
      <c r="N5" s="41">
        <f t="shared" si="0"/>
        <v>0</v>
      </c>
      <c r="P5">
        <v>300000</v>
      </c>
    </row>
    <row r="6" spans="1:16">
      <c r="A6" s="22" t="s">
        <v>171</v>
      </c>
      <c r="B6" s="39">
        <v>0</v>
      </c>
      <c r="C6" s="40">
        <v>0</v>
      </c>
      <c r="D6" s="40">
        <v>100000</v>
      </c>
      <c r="E6" s="49">
        <v>100000</v>
      </c>
      <c r="F6" s="49">
        <v>100000</v>
      </c>
      <c r="G6" s="49">
        <v>100000</v>
      </c>
      <c r="H6" s="49">
        <v>100000</v>
      </c>
      <c r="I6" s="40">
        <v>25000</v>
      </c>
      <c r="J6" s="49">
        <v>25000</v>
      </c>
      <c r="K6" s="49">
        <v>25000</v>
      </c>
      <c r="L6" s="40">
        <v>225000</v>
      </c>
      <c r="M6" s="40">
        <v>0</v>
      </c>
      <c r="N6" s="41">
        <f t="shared" si="0"/>
        <v>225000</v>
      </c>
      <c r="O6" s="40">
        <v>25000</v>
      </c>
    </row>
    <row r="7" spans="1:16">
      <c r="A7" s="5" t="s">
        <v>172</v>
      </c>
      <c r="B7" s="51">
        <v>200000</v>
      </c>
      <c r="C7" s="45">
        <v>200000</v>
      </c>
      <c r="D7" s="40">
        <v>250000</v>
      </c>
      <c r="E7" s="49">
        <v>250000</v>
      </c>
      <c r="F7" s="49">
        <v>250000</v>
      </c>
      <c r="G7" s="40">
        <v>450000</v>
      </c>
      <c r="H7" s="49">
        <v>450000</v>
      </c>
      <c r="I7" s="49">
        <v>450000</v>
      </c>
      <c r="J7" s="49">
        <v>450000</v>
      </c>
      <c r="K7" s="49">
        <v>450000</v>
      </c>
      <c r="L7" s="40">
        <v>500000</v>
      </c>
      <c r="M7" s="40">
        <v>0</v>
      </c>
      <c r="N7" s="41">
        <f t="shared" si="0"/>
        <v>500000</v>
      </c>
      <c r="P7">
        <v>450000</v>
      </c>
    </row>
    <row r="8" spans="1:16">
      <c r="A8" s="22" t="s">
        <v>173</v>
      </c>
      <c r="B8" s="39">
        <v>0</v>
      </c>
      <c r="C8" s="40">
        <v>0</v>
      </c>
      <c r="D8" s="40">
        <v>300000</v>
      </c>
      <c r="E8" s="49">
        <v>300000</v>
      </c>
      <c r="F8" s="49">
        <v>300000</v>
      </c>
      <c r="G8" s="49">
        <v>300000</v>
      </c>
      <c r="H8" s="49">
        <v>300000</v>
      </c>
      <c r="I8" s="49">
        <v>300000</v>
      </c>
      <c r="J8" s="49">
        <v>300000</v>
      </c>
      <c r="K8" s="49">
        <v>300000</v>
      </c>
      <c r="L8" s="49">
        <v>300000</v>
      </c>
      <c r="M8" s="40">
        <v>0</v>
      </c>
      <c r="N8" s="41">
        <f t="shared" si="0"/>
        <v>300000</v>
      </c>
      <c r="P8">
        <v>300000</v>
      </c>
    </row>
    <row r="9" spans="1:16">
      <c r="A9" s="5" t="s">
        <v>174</v>
      </c>
      <c r="B9" s="39">
        <v>0</v>
      </c>
      <c r="C9" s="40">
        <v>200000</v>
      </c>
      <c r="D9" s="49">
        <v>200000</v>
      </c>
      <c r="E9" s="49">
        <v>200000</v>
      </c>
      <c r="F9" s="39">
        <v>350000</v>
      </c>
      <c r="G9" s="40">
        <v>450000</v>
      </c>
      <c r="H9" s="49">
        <v>450000</v>
      </c>
      <c r="I9" s="49">
        <v>450000</v>
      </c>
      <c r="J9" s="49">
        <v>450000</v>
      </c>
      <c r="K9" s="40">
        <v>300000</v>
      </c>
      <c r="L9" s="49">
        <v>300000</v>
      </c>
      <c r="M9" s="40">
        <v>0</v>
      </c>
      <c r="N9" s="41">
        <f t="shared" si="0"/>
        <v>300000</v>
      </c>
      <c r="P9">
        <v>450000</v>
      </c>
    </row>
    <row r="10" spans="1:16">
      <c r="A10" s="22" t="s">
        <v>175</v>
      </c>
      <c r="B10" s="39">
        <v>0</v>
      </c>
      <c r="C10" s="40">
        <v>0</v>
      </c>
      <c r="D10" s="40">
        <v>0</v>
      </c>
      <c r="E10" s="39">
        <v>0</v>
      </c>
      <c r="F10" s="39">
        <v>0</v>
      </c>
      <c r="G10" s="40">
        <v>0</v>
      </c>
      <c r="H10" s="40">
        <v>150000</v>
      </c>
      <c r="I10" s="40">
        <v>650000</v>
      </c>
      <c r="J10" s="40">
        <v>1450000</v>
      </c>
      <c r="K10" s="49">
        <v>1450000</v>
      </c>
      <c r="L10" s="49">
        <v>1450000</v>
      </c>
      <c r="M10" s="40">
        <v>0</v>
      </c>
      <c r="N10" s="41">
        <f t="shared" si="0"/>
        <v>1450000</v>
      </c>
      <c r="P10">
        <v>1450000</v>
      </c>
    </row>
    <row r="11" spans="1:16">
      <c r="A11" s="5" t="s">
        <v>176</v>
      </c>
      <c r="B11" s="39">
        <v>0</v>
      </c>
      <c r="C11" s="40">
        <v>254000</v>
      </c>
      <c r="D11" s="49">
        <v>254000</v>
      </c>
      <c r="E11" s="39">
        <v>454000</v>
      </c>
      <c r="F11" s="39">
        <v>654000</v>
      </c>
      <c r="G11" s="41">
        <v>657000</v>
      </c>
      <c r="H11" s="41">
        <v>657000</v>
      </c>
      <c r="I11" s="41">
        <v>457000</v>
      </c>
      <c r="J11" s="49">
        <v>257000</v>
      </c>
      <c r="K11" s="49">
        <v>257000</v>
      </c>
      <c r="L11" s="40">
        <v>657000</v>
      </c>
      <c r="M11" s="40">
        <v>0</v>
      </c>
      <c r="N11" s="41">
        <f t="shared" si="0"/>
        <v>657000</v>
      </c>
      <c r="O11" s="40">
        <v>563000</v>
      </c>
    </row>
    <row r="12" spans="1:16">
      <c r="A12" s="22" t="s">
        <v>177</v>
      </c>
      <c r="B12" s="39">
        <v>0</v>
      </c>
      <c r="C12" s="40">
        <v>0</v>
      </c>
      <c r="D12" s="39">
        <v>0</v>
      </c>
      <c r="E12" s="39">
        <v>0</v>
      </c>
      <c r="F12" s="39">
        <v>0</v>
      </c>
      <c r="G12" s="39">
        <v>0</v>
      </c>
      <c r="H12" s="40">
        <v>0</v>
      </c>
      <c r="I12" s="40">
        <v>0</v>
      </c>
      <c r="J12" s="40">
        <v>0</v>
      </c>
      <c r="K12" s="40">
        <v>200000</v>
      </c>
      <c r="L12" s="49">
        <v>200000</v>
      </c>
      <c r="M12" s="40">
        <v>0</v>
      </c>
      <c r="N12" s="41">
        <f t="shared" si="0"/>
        <v>200000</v>
      </c>
      <c r="P12">
        <v>0</v>
      </c>
    </row>
    <row r="13" spans="1:16">
      <c r="A13" s="5" t="s">
        <v>178</v>
      </c>
      <c r="B13" s="51">
        <v>100000</v>
      </c>
      <c r="C13" s="40">
        <v>100000</v>
      </c>
      <c r="D13" s="40">
        <v>300000</v>
      </c>
      <c r="E13" s="40">
        <v>300000</v>
      </c>
      <c r="F13" s="40">
        <v>300000</v>
      </c>
      <c r="G13" s="39">
        <v>240000</v>
      </c>
      <c r="H13" s="40">
        <v>390000</v>
      </c>
      <c r="I13" s="40">
        <v>340000</v>
      </c>
      <c r="J13" s="40">
        <v>200000</v>
      </c>
      <c r="K13" s="40"/>
      <c r="L13" s="40"/>
      <c r="M13" s="40"/>
      <c r="N13" s="41">
        <f t="shared" si="0"/>
        <v>0</v>
      </c>
      <c r="O13" s="40">
        <v>540000</v>
      </c>
    </row>
    <row r="14" spans="1:16">
      <c r="A14" s="22" t="s">
        <v>179</v>
      </c>
      <c r="B14" s="39">
        <v>0</v>
      </c>
      <c r="C14" s="40">
        <v>0</v>
      </c>
      <c r="D14" s="39">
        <v>0</v>
      </c>
      <c r="E14" s="39">
        <v>0</v>
      </c>
      <c r="F14" s="39">
        <v>0</v>
      </c>
      <c r="G14" s="39">
        <v>0</v>
      </c>
      <c r="H14" s="40">
        <v>0</v>
      </c>
      <c r="I14" s="40">
        <v>0</v>
      </c>
      <c r="J14" s="40">
        <v>0</v>
      </c>
      <c r="K14" s="40">
        <v>0</v>
      </c>
      <c r="L14" s="39">
        <v>0</v>
      </c>
      <c r="M14" s="40">
        <v>0</v>
      </c>
      <c r="N14" s="41">
        <f t="shared" si="0"/>
        <v>0</v>
      </c>
      <c r="P14">
        <v>0</v>
      </c>
    </row>
    <row r="15" spans="1:16">
      <c r="A15" s="5" t="s">
        <v>180</v>
      </c>
      <c r="B15" s="39">
        <v>0</v>
      </c>
      <c r="C15" s="40">
        <v>38000</v>
      </c>
      <c r="D15" s="40">
        <v>138000</v>
      </c>
      <c r="E15" s="39">
        <v>288000</v>
      </c>
      <c r="F15" s="45">
        <v>288000</v>
      </c>
      <c r="G15" s="45">
        <v>288000</v>
      </c>
      <c r="H15" s="45">
        <v>288000</v>
      </c>
      <c r="I15" s="45">
        <v>288000</v>
      </c>
      <c r="J15" s="45">
        <v>288000</v>
      </c>
      <c r="K15" s="45">
        <v>288000</v>
      </c>
      <c r="L15" s="45">
        <v>288000</v>
      </c>
      <c r="M15" s="40">
        <v>0</v>
      </c>
      <c r="N15" s="41">
        <f t="shared" si="0"/>
        <v>288000</v>
      </c>
      <c r="O15" s="40">
        <v>288000</v>
      </c>
    </row>
    <row r="16" spans="1:16">
      <c r="A16" s="22" t="s">
        <v>181</v>
      </c>
      <c r="B16" s="39">
        <v>0</v>
      </c>
      <c r="C16" s="40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40">
        <v>0</v>
      </c>
      <c r="N16" s="41">
        <f t="shared" si="0"/>
        <v>0</v>
      </c>
      <c r="P16">
        <v>0</v>
      </c>
    </row>
    <row r="17" spans="1:16">
      <c r="A17" s="5" t="s">
        <v>182</v>
      </c>
      <c r="B17" s="39">
        <v>0</v>
      </c>
      <c r="C17" s="40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40">
        <v>0</v>
      </c>
      <c r="N17" s="41">
        <f t="shared" si="0"/>
        <v>0</v>
      </c>
      <c r="P17">
        <v>0</v>
      </c>
    </row>
    <row r="18" spans="1:16">
      <c r="A18" s="22" t="s">
        <v>183</v>
      </c>
      <c r="B18" s="39">
        <v>0</v>
      </c>
      <c r="C18" s="40">
        <v>0</v>
      </c>
      <c r="D18" s="40">
        <v>200000</v>
      </c>
      <c r="E18" s="49">
        <v>200000</v>
      </c>
      <c r="F18" s="49">
        <v>200000</v>
      </c>
      <c r="G18" s="49">
        <v>200000</v>
      </c>
      <c r="H18" s="49">
        <v>200000</v>
      </c>
      <c r="I18" s="41">
        <v>350000</v>
      </c>
      <c r="J18" s="45">
        <v>350000</v>
      </c>
      <c r="K18" s="45">
        <v>350000</v>
      </c>
      <c r="L18" s="45">
        <v>350000</v>
      </c>
      <c r="M18" s="40">
        <v>0</v>
      </c>
      <c r="N18" s="41">
        <f t="shared" si="0"/>
        <v>350000</v>
      </c>
      <c r="P18">
        <v>350000</v>
      </c>
    </row>
    <row r="19" spans="1:16">
      <c r="A19" s="5" t="s">
        <v>184</v>
      </c>
      <c r="B19" s="51">
        <v>100000</v>
      </c>
      <c r="C19" s="45">
        <v>100000</v>
      </c>
      <c r="D19" s="45">
        <v>100000</v>
      </c>
      <c r="E19" s="50">
        <v>130000</v>
      </c>
      <c r="F19" s="45">
        <v>130000</v>
      </c>
      <c r="G19" s="45">
        <v>130000</v>
      </c>
      <c r="H19" s="45">
        <v>130000</v>
      </c>
      <c r="I19" s="45">
        <v>130000</v>
      </c>
      <c r="J19" s="45">
        <v>130000</v>
      </c>
      <c r="K19" s="45">
        <v>130000</v>
      </c>
      <c r="L19" s="45">
        <v>130000</v>
      </c>
      <c r="M19" s="40">
        <v>0</v>
      </c>
      <c r="N19" s="41">
        <f t="shared" si="0"/>
        <v>130000</v>
      </c>
      <c r="P19">
        <v>130000</v>
      </c>
    </row>
    <row r="20" spans="1:16">
      <c r="A20" s="22" t="s">
        <v>185</v>
      </c>
      <c r="B20" s="39">
        <v>0</v>
      </c>
      <c r="C20" s="40">
        <v>0</v>
      </c>
      <c r="D20" s="39">
        <v>0</v>
      </c>
      <c r="E20" s="39">
        <v>100000</v>
      </c>
      <c r="F20" s="45">
        <v>75000</v>
      </c>
      <c r="G20" s="45">
        <v>53000</v>
      </c>
      <c r="H20" s="45"/>
      <c r="I20" s="45"/>
      <c r="J20" s="45"/>
      <c r="K20" s="45"/>
      <c r="L20" s="45"/>
      <c r="M20" s="40">
        <v>0</v>
      </c>
      <c r="N20" s="41">
        <f t="shared" si="0"/>
        <v>0</v>
      </c>
      <c r="O20" s="40">
        <v>0</v>
      </c>
    </row>
    <row r="21" spans="1:16">
      <c r="A21" s="5" t="s">
        <v>186</v>
      </c>
      <c r="B21" s="39">
        <v>0</v>
      </c>
      <c r="C21" s="40">
        <v>0</v>
      </c>
      <c r="D21" s="55">
        <v>920000</v>
      </c>
      <c r="E21" s="56"/>
      <c r="F21" s="56"/>
      <c r="G21" s="56"/>
      <c r="H21" s="40">
        <v>50000</v>
      </c>
      <c r="I21" s="40">
        <v>150000</v>
      </c>
      <c r="J21" s="49">
        <v>150000</v>
      </c>
      <c r="K21" s="49">
        <v>150000</v>
      </c>
      <c r="L21" s="49">
        <v>150000</v>
      </c>
      <c r="M21" s="40">
        <v>0</v>
      </c>
      <c r="N21" s="41">
        <f t="shared" si="0"/>
        <v>150000</v>
      </c>
      <c r="P21">
        <v>1070000</v>
      </c>
    </row>
    <row r="22" spans="1:16">
      <c r="A22" s="22" t="s">
        <v>187</v>
      </c>
      <c r="B22" s="39">
        <v>0</v>
      </c>
      <c r="C22" s="40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40">
        <v>0</v>
      </c>
      <c r="N22" s="41">
        <f t="shared" si="0"/>
        <v>0</v>
      </c>
      <c r="P22">
        <v>0</v>
      </c>
    </row>
    <row r="23" spans="1:16">
      <c r="A23" s="5" t="s">
        <v>188</v>
      </c>
      <c r="B23" s="39">
        <v>0</v>
      </c>
      <c r="C23" s="40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40">
        <v>0</v>
      </c>
      <c r="N23" s="41">
        <f t="shared" si="0"/>
        <v>0</v>
      </c>
      <c r="P23">
        <v>0</v>
      </c>
    </row>
    <row r="24" spans="1:16">
      <c r="A24" s="22" t="s">
        <v>189</v>
      </c>
      <c r="B24" s="51">
        <v>250000</v>
      </c>
      <c r="C24" s="51">
        <v>250000</v>
      </c>
      <c r="D24" s="40">
        <v>350000</v>
      </c>
      <c r="E24" s="49">
        <v>350000</v>
      </c>
      <c r="F24" s="49">
        <v>350000</v>
      </c>
      <c r="G24" s="40">
        <v>450000</v>
      </c>
      <c r="H24" s="49">
        <v>450000</v>
      </c>
      <c r="I24" s="40">
        <v>103000</v>
      </c>
      <c r="J24" s="40">
        <v>200000</v>
      </c>
      <c r="K24" s="39">
        <v>0</v>
      </c>
      <c r="L24" s="39">
        <v>0</v>
      </c>
      <c r="M24" s="40"/>
      <c r="N24" s="41">
        <f t="shared" si="0"/>
        <v>0</v>
      </c>
      <c r="O24" s="40">
        <v>200000</v>
      </c>
    </row>
    <row r="25" spans="1:16">
      <c r="A25" s="5" t="s">
        <v>190</v>
      </c>
      <c r="B25" s="39">
        <v>0</v>
      </c>
      <c r="C25" s="40">
        <v>0</v>
      </c>
      <c r="D25" s="39">
        <v>0</v>
      </c>
      <c r="E25" s="39">
        <v>0</v>
      </c>
      <c r="F25" s="39">
        <v>0</v>
      </c>
      <c r="G25" s="40">
        <v>50000</v>
      </c>
      <c r="H25" s="49">
        <v>50000</v>
      </c>
      <c r="I25" s="49">
        <v>50000</v>
      </c>
      <c r="J25" s="49">
        <v>50000</v>
      </c>
      <c r="K25" s="49">
        <v>50000</v>
      </c>
      <c r="L25" s="49">
        <v>50000</v>
      </c>
      <c r="M25" s="40">
        <v>0</v>
      </c>
      <c r="N25" s="41">
        <f t="shared" si="0"/>
        <v>50000</v>
      </c>
      <c r="P25">
        <v>50000</v>
      </c>
    </row>
    <row r="26" spans="1:16">
      <c r="A26" s="22" t="s">
        <v>191</v>
      </c>
      <c r="B26" s="39">
        <v>0</v>
      </c>
      <c r="C26" s="40">
        <v>0</v>
      </c>
      <c r="D26" s="39">
        <v>0</v>
      </c>
      <c r="E26" s="39">
        <v>200000</v>
      </c>
      <c r="F26" s="39">
        <v>350000</v>
      </c>
      <c r="G26" s="45">
        <v>350000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40">
        <v>0</v>
      </c>
      <c r="N26" s="41">
        <f t="shared" si="0"/>
        <v>0</v>
      </c>
      <c r="O26" s="40">
        <v>200000</v>
      </c>
    </row>
    <row r="27" spans="1:16">
      <c r="A27" s="5" t="s">
        <v>192</v>
      </c>
      <c r="B27" s="39">
        <v>0</v>
      </c>
      <c r="C27" s="40"/>
      <c r="D27" s="40">
        <v>200000</v>
      </c>
      <c r="E27" s="49">
        <v>200000</v>
      </c>
      <c r="F27" s="49">
        <v>200000</v>
      </c>
      <c r="G27" s="49">
        <v>200000</v>
      </c>
      <c r="H27" s="49">
        <v>200000</v>
      </c>
      <c r="I27" s="49">
        <v>200000</v>
      </c>
      <c r="J27" s="49">
        <v>200000</v>
      </c>
      <c r="K27" s="40">
        <v>550000</v>
      </c>
      <c r="L27" s="41">
        <v>853000</v>
      </c>
      <c r="M27" s="40">
        <v>0</v>
      </c>
      <c r="N27" s="41">
        <f t="shared" si="0"/>
        <v>853000</v>
      </c>
      <c r="P27">
        <v>200000</v>
      </c>
    </row>
    <row r="28" spans="1:16">
      <c r="A28" s="22" t="s">
        <v>193</v>
      </c>
      <c r="B28" s="51">
        <v>200000</v>
      </c>
      <c r="C28" s="51">
        <v>200000</v>
      </c>
      <c r="D28" s="40">
        <v>500000</v>
      </c>
      <c r="E28" s="49">
        <v>500000</v>
      </c>
      <c r="F28" s="39">
        <v>600000</v>
      </c>
      <c r="G28" s="45">
        <v>600000</v>
      </c>
      <c r="H28" s="45">
        <v>600000</v>
      </c>
      <c r="I28" s="45">
        <v>600000</v>
      </c>
      <c r="J28" s="39">
        <v>0</v>
      </c>
      <c r="K28" s="39">
        <v>0</v>
      </c>
      <c r="L28" s="39">
        <v>0</v>
      </c>
      <c r="M28" s="40">
        <v>0</v>
      </c>
      <c r="N28" s="41">
        <f t="shared" si="0"/>
        <v>0</v>
      </c>
      <c r="O28" s="40">
        <v>0</v>
      </c>
    </row>
    <row r="29" spans="1:16">
      <c r="A29" s="5" t="s">
        <v>194</v>
      </c>
      <c r="B29" s="39">
        <v>0</v>
      </c>
      <c r="C29" s="40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40">
        <v>0</v>
      </c>
      <c r="N29" s="41">
        <f t="shared" si="0"/>
        <v>0</v>
      </c>
      <c r="P29">
        <v>0</v>
      </c>
    </row>
    <row r="30" spans="1:16">
      <c r="A30" s="22" t="s">
        <v>195</v>
      </c>
      <c r="B30" s="39">
        <v>0</v>
      </c>
      <c r="C30" s="40">
        <v>0</v>
      </c>
      <c r="D30" s="39">
        <v>0</v>
      </c>
      <c r="E30" s="39">
        <v>0</v>
      </c>
      <c r="F30" s="39">
        <v>50000</v>
      </c>
      <c r="G30" s="45">
        <v>50000</v>
      </c>
      <c r="H30" s="45">
        <v>50000</v>
      </c>
      <c r="I30" s="45">
        <v>50000</v>
      </c>
      <c r="J30" s="40">
        <v>150000</v>
      </c>
      <c r="K30" s="49">
        <v>150000</v>
      </c>
      <c r="L30" s="49">
        <v>150000</v>
      </c>
      <c r="M30" s="40">
        <v>0</v>
      </c>
      <c r="N30" s="41">
        <f t="shared" si="0"/>
        <v>150000</v>
      </c>
      <c r="P30">
        <v>150000</v>
      </c>
    </row>
    <row r="31" spans="1:16">
      <c r="A31" s="5" t="s">
        <v>196</v>
      </c>
      <c r="B31" s="39">
        <v>0</v>
      </c>
      <c r="C31" s="40">
        <v>0</v>
      </c>
      <c r="D31" s="39">
        <v>0</v>
      </c>
      <c r="E31" s="39">
        <v>0</v>
      </c>
      <c r="F31" s="39"/>
      <c r="G31" s="39">
        <v>0</v>
      </c>
      <c r="H31" s="39">
        <v>0</v>
      </c>
      <c r="I31" s="39">
        <v>0</v>
      </c>
      <c r="J31" s="40">
        <v>0</v>
      </c>
      <c r="K31" s="39">
        <v>0</v>
      </c>
      <c r="L31" s="39">
        <v>0</v>
      </c>
      <c r="M31" s="40">
        <v>0</v>
      </c>
      <c r="N31" s="41">
        <f t="shared" si="0"/>
        <v>0</v>
      </c>
      <c r="P31">
        <v>0</v>
      </c>
    </row>
    <row r="32" spans="1:16">
      <c r="A32" s="22" t="s">
        <v>86</v>
      </c>
      <c r="B32" s="39">
        <v>0</v>
      </c>
      <c r="C32" s="40">
        <v>0</v>
      </c>
      <c r="D32" s="40">
        <v>200000</v>
      </c>
      <c r="E32" s="40">
        <v>400000</v>
      </c>
      <c r="F32" s="40">
        <v>400000</v>
      </c>
      <c r="G32" s="40">
        <v>750000</v>
      </c>
      <c r="H32" s="39">
        <v>650000</v>
      </c>
      <c r="I32" s="39">
        <v>650000</v>
      </c>
      <c r="J32" s="39">
        <v>650000</v>
      </c>
      <c r="K32" s="39">
        <v>650000</v>
      </c>
      <c r="L32" s="39">
        <v>650000</v>
      </c>
      <c r="M32" s="40">
        <v>0</v>
      </c>
      <c r="N32" s="41">
        <f t="shared" si="0"/>
        <v>650000</v>
      </c>
      <c r="O32" s="40">
        <v>450000</v>
      </c>
    </row>
    <row r="33" spans="1:16">
      <c r="A33" s="5" t="s">
        <v>197</v>
      </c>
      <c r="B33" s="51">
        <v>100000</v>
      </c>
      <c r="C33" s="45">
        <v>100000</v>
      </c>
      <c r="D33" s="45">
        <v>100000</v>
      </c>
      <c r="E33" s="45">
        <v>100000</v>
      </c>
      <c r="F33" s="39">
        <v>500000</v>
      </c>
      <c r="G33" s="39">
        <v>500000</v>
      </c>
      <c r="H33" s="40">
        <v>800000</v>
      </c>
      <c r="I33" s="39">
        <v>700000</v>
      </c>
      <c r="J33" s="40">
        <v>1100000</v>
      </c>
      <c r="K33" s="49">
        <v>1100000</v>
      </c>
      <c r="L33" s="49">
        <v>1100000</v>
      </c>
      <c r="M33" s="40">
        <v>0</v>
      </c>
      <c r="N33" s="41">
        <f t="shared" si="0"/>
        <v>1100000</v>
      </c>
      <c r="O33" s="40">
        <v>1000000</v>
      </c>
    </row>
    <row r="34" spans="1:16">
      <c r="A34" s="23" t="s">
        <v>55</v>
      </c>
      <c r="B34" s="41">
        <f t="shared" ref="B34:N34" si="1">+SUM(B2:B33)</f>
        <v>950000</v>
      </c>
      <c r="C34" s="41">
        <f t="shared" si="1"/>
        <v>1442000</v>
      </c>
      <c r="D34" s="41">
        <f t="shared" si="1"/>
        <v>4112000</v>
      </c>
      <c r="E34" s="41">
        <f t="shared" si="1"/>
        <v>4622000</v>
      </c>
      <c r="F34" s="41">
        <f t="shared" si="1"/>
        <v>5647000</v>
      </c>
      <c r="G34" s="41">
        <f t="shared" si="1"/>
        <v>6368000</v>
      </c>
      <c r="H34" s="41">
        <f t="shared" si="1"/>
        <v>6815000</v>
      </c>
      <c r="I34" s="41">
        <f t="shared" si="1"/>
        <v>6943000</v>
      </c>
      <c r="J34" s="41">
        <f t="shared" si="1"/>
        <v>7400000</v>
      </c>
      <c r="K34" s="41">
        <f t="shared" si="1"/>
        <v>7400000</v>
      </c>
      <c r="L34" s="41">
        <f t="shared" si="1"/>
        <v>7953000</v>
      </c>
      <c r="M34" s="41">
        <f t="shared" si="1"/>
        <v>0</v>
      </c>
      <c r="N34" s="41">
        <f t="shared" si="1"/>
        <v>7953000</v>
      </c>
      <c r="O34" s="41">
        <f>SUM(O2:O33)</f>
        <v>3266000</v>
      </c>
      <c r="P34" s="41">
        <f>SUM(P2:P33)</f>
        <v>5600000</v>
      </c>
    </row>
    <row r="35" spans="1:16">
      <c r="O35" s="48">
        <f>O34+P34</f>
        <v>8866000</v>
      </c>
    </row>
    <row r="36" spans="1:16">
      <c r="N36" s="48"/>
    </row>
    <row r="39" spans="1:16">
      <c r="F39" s="4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469D-9BA2-4A54-B1CC-A016BAAC9FC3}">
  <dimension ref="A1:Q39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N2" sqref="N2"/>
    </sheetView>
  </sheetViews>
  <sheetFormatPr baseColWidth="10" defaultRowHeight="15"/>
  <cols>
    <col min="1" max="1" width="24.140625" customWidth="1"/>
    <col min="2" max="3" width="11.5703125" customWidth="1"/>
    <col min="4" max="13" width="11.5703125" bestFit="1" customWidth="1"/>
    <col min="14" max="14" width="12.85546875" bestFit="1" customWidth="1"/>
    <col min="15" max="15" width="12.85546875" customWidth="1"/>
    <col min="16" max="16" width="17.42578125" customWidth="1"/>
    <col min="17" max="17" width="13.7109375" customWidth="1"/>
  </cols>
  <sheetData>
    <row r="1" spans="1:17">
      <c r="A1" t="s">
        <v>80</v>
      </c>
      <c r="B1" s="38" t="s">
        <v>65</v>
      </c>
      <c r="C1" s="38" t="s">
        <v>66</v>
      </c>
      <c r="D1" s="38" t="s">
        <v>67</v>
      </c>
      <c r="E1" s="38" t="s">
        <v>81</v>
      </c>
      <c r="F1" s="38" t="s">
        <v>82</v>
      </c>
      <c r="G1" s="38" t="s">
        <v>58</v>
      </c>
      <c r="H1" s="38" t="s">
        <v>59</v>
      </c>
      <c r="I1" s="38" t="s">
        <v>60</v>
      </c>
      <c r="J1" s="38" t="s">
        <v>61</v>
      </c>
      <c r="K1" s="38" t="s">
        <v>62</v>
      </c>
      <c r="L1" s="38" t="s">
        <v>63</v>
      </c>
      <c r="M1" s="38" t="s">
        <v>64</v>
      </c>
      <c r="N1" s="38" t="s">
        <v>199</v>
      </c>
      <c r="O1" s="38" t="s">
        <v>200</v>
      </c>
      <c r="P1" s="38" t="s">
        <v>201</v>
      </c>
      <c r="Q1" s="38" t="s">
        <v>202</v>
      </c>
    </row>
    <row r="2" spans="1:17">
      <c r="A2" s="22" t="s">
        <v>167</v>
      </c>
      <c r="B2" s="46"/>
      <c r="C2" s="47"/>
      <c r="D2" s="47"/>
      <c r="E2" s="46"/>
      <c r="F2" s="46">
        <v>15000</v>
      </c>
      <c r="G2" s="47">
        <v>17000</v>
      </c>
      <c r="H2" s="47">
        <v>16000</v>
      </c>
      <c r="I2" s="47">
        <v>12000</v>
      </c>
      <c r="J2" s="47">
        <v>17000</v>
      </c>
      <c r="K2" s="47">
        <v>16000</v>
      </c>
      <c r="L2" s="47">
        <v>166000</v>
      </c>
      <c r="M2" s="47"/>
      <c r="N2" s="41">
        <f>+SUM(B2:M2)</f>
        <v>259000</v>
      </c>
      <c r="O2" s="41">
        <v>124000</v>
      </c>
      <c r="P2" s="48">
        <v>450000</v>
      </c>
      <c r="Q2" s="48">
        <f>(P2+O2)-N2</f>
        <v>315000</v>
      </c>
    </row>
    <row r="3" spans="1:17">
      <c r="A3" s="5" t="s">
        <v>168</v>
      </c>
      <c r="B3" s="46"/>
      <c r="C3" s="47"/>
      <c r="D3" s="47"/>
      <c r="E3" s="46"/>
      <c r="F3" s="46"/>
      <c r="G3" s="47"/>
      <c r="H3" s="47"/>
      <c r="I3" s="47"/>
      <c r="J3" s="47"/>
      <c r="K3" s="47"/>
      <c r="L3" s="47"/>
      <c r="M3" s="47"/>
      <c r="N3" s="41">
        <f t="shared" ref="N3:N22" si="0">+SUM(B3:M3)</f>
        <v>0</v>
      </c>
      <c r="O3" s="41">
        <v>60000</v>
      </c>
      <c r="P3" s="48">
        <v>300000</v>
      </c>
      <c r="Q3" s="48">
        <f t="shared" ref="Q3:Q33" si="1">(P3+O3)-N3</f>
        <v>360000</v>
      </c>
    </row>
    <row r="4" spans="1:17">
      <c r="A4" s="22" t="s">
        <v>169</v>
      </c>
      <c r="B4" s="46"/>
      <c r="C4" s="47"/>
      <c r="D4" s="47"/>
      <c r="E4" s="46"/>
      <c r="F4" s="46"/>
      <c r="G4" s="47"/>
      <c r="H4" s="47"/>
      <c r="I4" s="47"/>
      <c r="J4" s="47"/>
      <c r="K4" s="47"/>
      <c r="L4" s="47"/>
      <c r="M4" s="47"/>
      <c r="N4" s="41">
        <f t="shared" si="0"/>
        <v>0</v>
      </c>
      <c r="O4" s="41">
        <v>0</v>
      </c>
      <c r="P4" s="48">
        <v>0</v>
      </c>
      <c r="Q4" s="48">
        <f t="shared" si="1"/>
        <v>0</v>
      </c>
    </row>
    <row r="5" spans="1:17">
      <c r="A5" s="5" t="s">
        <v>170</v>
      </c>
      <c r="B5" s="46"/>
      <c r="C5" s="47"/>
      <c r="D5" s="47"/>
      <c r="E5" s="46"/>
      <c r="F5" s="46"/>
      <c r="G5" s="47"/>
      <c r="H5" s="47"/>
      <c r="I5" s="47"/>
      <c r="J5" s="47"/>
      <c r="K5" s="47"/>
      <c r="L5" s="47">
        <v>360000</v>
      </c>
      <c r="M5" s="47"/>
      <c r="N5" s="41">
        <f t="shared" si="0"/>
        <v>360000</v>
      </c>
      <c r="O5" s="41">
        <v>60000</v>
      </c>
      <c r="P5" s="48">
        <v>300000</v>
      </c>
      <c r="Q5" s="48">
        <f t="shared" si="1"/>
        <v>0</v>
      </c>
    </row>
    <row r="6" spans="1:17">
      <c r="A6" s="22" t="s">
        <v>171</v>
      </c>
      <c r="B6" s="46"/>
      <c r="C6" s="47"/>
      <c r="D6" s="47"/>
      <c r="E6" s="46"/>
      <c r="F6" s="46"/>
      <c r="G6" s="47"/>
      <c r="H6" s="47"/>
      <c r="I6" s="52">
        <v>75000</v>
      </c>
      <c r="J6" s="47"/>
      <c r="K6" s="47"/>
      <c r="L6" s="47"/>
      <c r="M6" s="47"/>
      <c r="N6" s="41">
        <f t="shared" si="0"/>
        <v>75000</v>
      </c>
      <c r="O6" s="41">
        <v>32000</v>
      </c>
      <c r="P6" s="48">
        <v>300000</v>
      </c>
      <c r="Q6" s="48">
        <f t="shared" si="1"/>
        <v>257000</v>
      </c>
    </row>
    <row r="7" spans="1:17">
      <c r="A7" s="5" t="s">
        <v>172</v>
      </c>
      <c r="B7" s="47"/>
      <c r="C7" s="47"/>
      <c r="D7" s="47"/>
      <c r="E7" s="46"/>
      <c r="F7" s="46"/>
      <c r="G7" s="47"/>
      <c r="H7" s="47"/>
      <c r="I7" s="47"/>
      <c r="J7" s="47"/>
      <c r="K7" s="47"/>
      <c r="L7" s="47"/>
      <c r="M7" s="47"/>
      <c r="N7" s="41">
        <f t="shared" si="0"/>
        <v>0</v>
      </c>
      <c r="O7" s="41">
        <v>156000</v>
      </c>
      <c r="P7" s="48">
        <v>500000</v>
      </c>
      <c r="Q7" s="48">
        <f t="shared" si="1"/>
        <v>656000</v>
      </c>
    </row>
    <row r="8" spans="1:17">
      <c r="A8" s="22" t="s">
        <v>173</v>
      </c>
      <c r="B8" s="46"/>
      <c r="C8" s="47"/>
      <c r="D8" s="47"/>
      <c r="E8" s="46"/>
      <c r="F8" s="46"/>
      <c r="G8" s="47"/>
      <c r="H8" s="47"/>
      <c r="I8" s="47"/>
      <c r="J8" s="47"/>
      <c r="K8" s="47"/>
      <c r="L8" s="47"/>
      <c r="M8" s="47"/>
      <c r="N8" s="41">
        <f t="shared" si="0"/>
        <v>0</v>
      </c>
      <c r="O8" s="41">
        <v>108000</v>
      </c>
      <c r="P8" s="48">
        <v>300000</v>
      </c>
      <c r="Q8" s="48">
        <f t="shared" si="1"/>
        <v>408000</v>
      </c>
    </row>
    <row r="9" spans="1:17">
      <c r="A9" s="5" t="s">
        <v>174</v>
      </c>
      <c r="B9" s="46"/>
      <c r="C9" s="47"/>
      <c r="D9" s="47"/>
      <c r="E9" s="46"/>
      <c r="F9" s="46"/>
      <c r="G9" s="47"/>
      <c r="H9" s="47"/>
      <c r="I9" s="47"/>
      <c r="J9" s="47"/>
      <c r="K9" s="47">
        <v>150000</v>
      </c>
      <c r="L9" s="47"/>
      <c r="M9" s="47"/>
      <c r="N9" s="41">
        <f t="shared" si="0"/>
        <v>150000</v>
      </c>
      <c r="O9" s="41">
        <v>134000</v>
      </c>
      <c r="P9" s="48">
        <v>450000</v>
      </c>
      <c r="Q9" s="48">
        <f t="shared" si="1"/>
        <v>434000</v>
      </c>
    </row>
    <row r="10" spans="1:17">
      <c r="A10" s="22" t="s">
        <v>175</v>
      </c>
      <c r="B10" s="46"/>
      <c r="C10" s="47"/>
      <c r="D10" s="47"/>
      <c r="E10" s="46"/>
      <c r="F10" s="46"/>
      <c r="G10" s="47"/>
      <c r="H10" s="47"/>
      <c r="I10" s="47"/>
      <c r="J10" s="47"/>
      <c r="K10" s="47"/>
      <c r="L10" s="47"/>
      <c r="M10" s="47"/>
      <c r="N10" s="41">
        <f t="shared" si="0"/>
        <v>0</v>
      </c>
      <c r="O10" s="41">
        <v>206000</v>
      </c>
      <c r="P10" s="48">
        <v>1450000</v>
      </c>
      <c r="Q10" s="48">
        <f t="shared" si="1"/>
        <v>1656000</v>
      </c>
    </row>
    <row r="11" spans="1:17">
      <c r="A11" s="5" t="s">
        <v>176</v>
      </c>
      <c r="B11" s="46"/>
      <c r="C11" s="47"/>
      <c r="D11" s="46"/>
      <c r="E11" s="46"/>
      <c r="F11" s="46"/>
      <c r="G11" s="47"/>
      <c r="H11" s="47"/>
      <c r="I11" s="52">
        <v>200000</v>
      </c>
      <c r="J11" s="52">
        <v>200000</v>
      </c>
      <c r="K11" s="47"/>
      <c r="L11" s="47">
        <v>600000</v>
      </c>
      <c r="M11" s="47"/>
      <c r="N11" s="41">
        <f t="shared" si="0"/>
        <v>1000000</v>
      </c>
      <c r="O11" s="41">
        <v>182320</v>
      </c>
      <c r="P11" s="48">
        <v>1357000</v>
      </c>
      <c r="Q11" s="48">
        <f t="shared" si="1"/>
        <v>539320</v>
      </c>
    </row>
    <row r="12" spans="1:17">
      <c r="A12" s="22" t="s">
        <v>177</v>
      </c>
      <c r="B12" s="46"/>
      <c r="C12" s="47"/>
      <c r="D12" s="46">
        <v>12000</v>
      </c>
      <c r="E12" s="46"/>
      <c r="F12" s="46"/>
      <c r="G12" s="46"/>
      <c r="H12" s="47"/>
      <c r="I12" s="47"/>
      <c r="J12" s="47"/>
      <c r="K12" s="47"/>
      <c r="L12" s="47">
        <v>6500</v>
      </c>
      <c r="M12" s="47"/>
      <c r="N12" s="41">
        <f t="shared" si="0"/>
        <v>18500</v>
      </c>
      <c r="O12" s="41">
        <v>16000</v>
      </c>
      <c r="P12" s="48">
        <v>200000</v>
      </c>
      <c r="Q12" s="48">
        <f t="shared" si="1"/>
        <v>197500</v>
      </c>
    </row>
    <row r="13" spans="1:17">
      <c r="A13" s="5" t="s">
        <v>178</v>
      </c>
      <c r="B13" s="46"/>
      <c r="C13" s="47"/>
      <c r="D13" s="47"/>
      <c r="E13" s="46"/>
      <c r="F13" s="46"/>
      <c r="G13" s="46">
        <v>60000</v>
      </c>
      <c r="H13" s="47"/>
      <c r="I13" s="47">
        <v>50000</v>
      </c>
      <c r="J13" s="47"/>
      <c r="K13" s="47"/>
      <c r="L13" s="47">
        <v>400000</v>
      </c>
      <c r="M13" s="47"/>
      <c r="N13" s="41">
        <f t="shared" si="0"/>
        <v>510000</v>
      </c>
      <c r="O13" s="41">
        <v>173200</v>
      </c>
      <c r="P13" s="48">
        <v>790000</v>
      </c>
      <c r="Q13" s="48">
        <f t="shared" si="1"/>
        <v>453200</v>
      </c>
    </row>
    <row r="14" spans="1:17">
      <c r="A14" s="22" t="s">
        <v>179</v>
      </c>
      <c r="B14" s="46"/>
      <c r="C14" s="47"/>
      <c r="D14" s="46"/>
      <c r="E14" s="46"/>
      <c r="F14" s="46"/>
      <c r="G14" s="46"/>
      <c r="H14" s="47"/>
      <c r="I14" s="47"/>
      <c r="J14" s="47"/>
      <c r="K14" s="47"/>
      <c r="L14" s="46"/>
      <c r="M14" s="47"/>
      <c r="N14" s="41">
        <f t="shared" si="0"/>
        <v>0</v>
      </c>
      <c r="O14" s="41">
        <v>0</v>
      </c>
      <c r="P14" s="48">
        <v>0</v>
      </c>
      <c r="Q14" s="48">
        <f t="shared" si="1"/>
        <v>0</v>
      </c>
    </row>
    <row r="15" spans="1:17">
      <c r="A15" s="5" t="s">
        <v>180</v>
      </c>
      <c r="B15" s="46"/>
      <c r="C15" s="54">
        <v>600000</v>
      </c>
      <c r="D15" s="47"/>
      <c r="E15" s="46">
        <v>50000</v>
      </c>
      <c r="F15" s="46"/>
      <c r="G15" s="46"/>
      <c r="H15" s="47"/>
      <c r="I15" s="47"/>
      <c r="J15" s="47"/>
      <c r="K15" s="47"/>
      <c r="L15" s="46"/>
      <c r="M15" s="47"/>
      <c r="N15" s="41">
        <f t="shared" si="0"/>
        <v>650000</v>
      </c>
      <c r="O15" s="41">
        <v>99200</v>
      </c>
      <c r="P15" s="48">
        <v>338000</v>
      </c>
      <c r="Q15" s="48">
        <f t="shared" si="1"/>
        <v>-212800</v>
      </c>
    </row>
    <row r="16" spans="1:17">
      <c r="A16" s="22" t="s">
        <v>181</v>
      </c>
      <c r="B16" s="46"/>
      <c r="C16" s="47"/>
      <c r="D16" s="47">
        <v>12000</v>
      </c>
      <c r="E16" s="46"/>
      <c r="F16" s="46"/>
      <c r="G16" s="46"/>
      <c r="H16" s="47"/>
      <c r="I16" s="47"/>
      <c r="J16" s="47"/>
      <c r="K16" s="47">
        <v>7000</v>
      </c>
      <c r="L16" s="46"/>
      <c r="M16" s="47"/>
      <c r="N16" s="41">
        <f t="shared" si="0"/>
        <v>19000</v>
      </c>
      <c r="O16" s="41">
        <v>0</v>
      </c>
      <c r="P16" s="48">
        <v>0</v>
      </c>
      <c r="Q16" s="48">
        <f t="shared" si="1"/>
        <v>-19000</v>
      </c>
    </row>
    <row r="17" spans="1:17">
      <c r="A17" s="5" t="s">
        <v>182</v>
      </c>
      <c r="B17" s="46"/>
      <c r="C17" s="47"/>
      <c r="D17" s="46"/>
      <c r="E17" s="46"/>
      <c r="F17" s="46"/>
      <c r="G17" s="46"/>
      <c r="H17" s="47"/>
      <c r="I17" s="47"/>
      <c r="J17" s="47"/>
      <c r="K17" s="47"/>
      <c r="L17" s="46"/>
      <c r="M17" s="47"/>
      <c r="N17" s="41">
        <f t="shared" si="0"/>
        <v>0</v>
      </c>
      <c r="O17" s="41">
        <v>0</v>
      </c>
      <c r="P17" s="48">
        <v>0</v>
      </c>
      <c r="Q17" s="48">
        <f t="shared" si="1"/>
        <v>0</v>
      </c>
    </row>
    <row r="18" spans="1:17">
      <c r="A18" s="22" t="s">
        <v>183</v>
      </c>
      <c r="B18" s="46"/>
      <c r="C18" s="47"/>
      <c r="D18" s="47"/>
      <c r="E18" s="46"/>
      <c r="F18" s="46"/>
      <c r="G18" s="46"/>
      <c r="H18" s="47"/>
      <c r="I18" s="47"/>
      <c r="J18" s="47"/>
      <c r="K18" s="47"/>
      <c r="L18" s="46">
        <v>200000</v>
      </c>
      <c r="M18" s="47"/>
      <c r="N18" s="41">
        <f t="shared" si="0"/>
        <v>200000</v>
      </c>
      <c r="O18" s="41">
        <v>96000</v>
      </c>
      <c r="P18" s="48">
        <v>350000</v>
      </c>
      <c r="Q18" s="48">
        <f t="shared" si="1"/>
        <v>246000</v>
      </c>
    </row>
    <row r="19" spans="1:17">
      <c r="A19" s="5" t="s">
        <v>184</v>
      </c>
      <c r="B19" s="46"/>
      <c r="C19" s="47"/>
      <c r="D19" s="46"/>
      <c r="E19" s="46"/>
      <c r="F19" s="46"/>
      <c r="G19" s="46"/>
      <c r="H19" s="47"/>
      <c r="I19" s="47"/>
      <c r="J19" s="47"/>
      <c r="K19" s="47"/>
      <c r="L19" s="46"/>
      <c r="M19" s="47"/>
      <c r="N19" s="41">
        <f t="shared" si="0"/>
        <v>0</v>
      </c>
      <c r="O19" s="41">
        <v>53600</v>
      </c>
      <c r="P19" s="48">
        <v>130000</v>
      </c>
      <c r="Q19" s="48">
        <f t="shared" si="1"/>
        <v>183600</v>
      </c>
    </row>
    <row r="20" spans="1:17">
      <c r="A20" s="22" t="s">
        <v>185</v>
      </c>
      <c r="B20" s="46"/>
      <c r="C20" s="47"/>
      <c r="D20" s="46"/>
      <c r="E20" s="46"/>
      <c r="F20" s="46">
        <v>29000</v>
      </c>
      <c r="G20" s="46">
        <v>18000</v>
      </c>
      <c r="H20" s="47">
        <v>27600</v>
      </c>
      <c r="I20" s="47">
        <v>1400</v>
      </c>
      <c r="J20" s="47">
        <v>26600</v>
      </c>
      <c r="K20" s="47"/>
      <c r="L20" s="46"/>
      <c r="M20" s="47"/>
      <c r="N20" s="41">
        <f t="shared" si="0"/>
        <v>102600</v>
      </c>
      <c r="O20" s="41">
        <v>9120</v>
      </c>
      <c r="P20" s="48">
        <v>100000</v>
      </c>
      <c r="Q20" s="48">
        <f t="shared" si="1"/>
        <v>6520</v>
      </c>
    </row>
    <row r="21" spans="1:17">
      <c r="A21" s="5" t="s">
        <v>186</v>
      </c>
      <c r="B21" s="46"/>
      <c r="C21" s="47"/>
      <c r="D21" s="47"/>
      <c r="E21" s="46"/>
      <c r="F21" s="46"/>
      <c r="G21" s="46"/>
      <c r="H21" s="47"/>
      <c r="I21" s="47"/>
      <c r="J21" s="47"/>
      <c r="K21" s="47"/>
      <c r="L21" s="46"/>
      <c r="M21" s="47"/>
      <c r="N21" s="41">
        <f t="shared" si="0"/>
        <v>0</v>
      </c>
      <c r="O21" s="41">
        <v>62800</v>
      </c>
      <c r="P21" s="48">
        <v>1070000</v>
      </c>
      <c r="Q21" s="48">
        <f t="shared" si="1"/>
        <v>1132800</v>
      </c>
    </row>
    <row r="22" spans="1:17">
      <c r="A22" s="22" t="s">
        <v>187</v>
      </c>
      <c r="B22" s="46"/>
      <c r="C22" s="47"/>
      <c r="D22" s="46"/>
      <c r="E22" s="46"/>
      <c r="F22" s="46"/>
      <c r="G22" s="46"/>
      <c r="H22" s="47"/>
      <c r="I22" s="47"/>
      <c r="J22" s="47"/>
      <c r="K22" s="47"/>
      <c r="L22" s="46"/>
      <c r="M22" s="47"/>
      <c r="N22" s="41">
        <f t="shared" si="0"/>
        <v>0</v>
      </c>
      <c r="O22" s="41">
        <v>0</v>
      </c>
      <c r="P22" s="48">
        <v>0</v>
      </c>
      <c r="Q22" s="48">
        <f t="shared" si="1"/>
        <v>0</v>
      </c>
    </row>
    <row r="23" spans="1:17">
      <c r="A23" s="5" t="s">
        <v>188</v>
      </c>
      <c r="B23" s="46"/>
      <c r="C23" s="47"/>
      <c r="D23" s="46"/>
      <c r="E23" s="46"/>
      <c r="F23" s="46"/>
      <c r="G23" s="46"/>
      <c r="H23" s="47"/>
      <c r="I23" s="47"/>
      <c r="J23" s="47"/>
      <c r="K23" s="47"/>
      <c r="L23" s="46"/>
      <c r="M23" s="47"/>
      <c r="N23" s="41">
        <f t="shared" ref="N23:N33" si="2">+SUM(B23:M23)</f>
        <v>0</v>
      </c>
      <c r="O23" s="41">
        <v>0</v>
      </c>
      <c r="P23" s="48">
        <v>0</v>
      </c>
      <c r="Q23" s="48">
        <f t="shared" si="1"/>
        <v>0</v>
      </c>
    </row>
    <row r="24" spans="1:17">
      <c r="A24" s="22" t="s">
        <v>189</v>
      </c>
      <c r="B24" s="46"/>
      <c r="C24" s="47"/>
      <c r="D24" s="47"/>
      <c r="E24" s="46"/>
      <c r="F24" s="46"/>
      <c r="G24" s="47"/>
      <c r="H24" s="47"/>
      <c r="I24" s="47"/>
      <c r="J24" s="52">
        <v>773000</v>
      </c>
      <c r="K24" s="47"/>
      <c r="L24" s="46"/>
      <c r="M24" s="47"/>
      <c r="N24" s="41">
        <f t="shared" si="2"/>
        <v>773000</v>
      </c>
      <c r="O24" s="41">
        <v>110120</v>
      </c>
      <c r="P24" s="48">
        <v>753000</v>
      </c>
      <c r="Q24" s="48">
        <f t="shared" si="1"/>
        <v>90120</v>
      </c>
    </row>
    <row r="25" spans="1:17">
      <c r="A25" s="5" t="s">
        <v>190</v>
      </c>
      <c r="B25" s="46"/>
      <c r="C25" s="47"/>
      <c r="D25" s="46"/>
      <c r="E25" s="46"/>
      <c r="F25" s="46"/>
      <c r="G25" s="47"/>
      <c r="H25" s="47"/>
      <c r="I25" s="47"/>
      <c r="J25" s="47"/>
      <c r="K25" s="47"/>
      <c r="L25" s="46"/>
      <c r="M25" s="47"/>
      <c r="N25" s="41">
        <f t="shared" si="2"/>
        <v>0</v>
      </c>
      <c r="O25" s="41">
        <v>12000</v>
      </c>
      <c r="P25" s="48">
        <v>50000</v>
      </c>
      <c r="Q25" s="48">
        <f t="shared" si="1"/>
        <v>62000</v>
      </c>
    </row>
    <row r="26" spans="1:17">
      <c r="A26" s="22" t="s">
        <v>191</v>
      </c>
      <c r="B26" s="46"/>
      <c r="C26" s="47"/>
      <c r="D26" s="46"/>
      <c r="E26" s="46"/>
      <c r="F26" s="46"/>
      <c r="G26" s="47"/>
      <c r="H26" s="47">
        <v>386000</v>
      </c>
      <c r="I26" s="47"/>
      <c r="J26" s="47"/>
      <c r="K26" s="47"/>
      <c r="L26" s="46">
        <v>216000</v>
      </c>
      <c r="M26" s="47"/>
      <c r="N26" s="41">
        <f t="shared" si="2"/>
        <v>602000</v>
      </c>
      <c r="O26" s="41">
        <v>36000</v>
      </c>
      <c r="P26" s="48">
        <v>350000</v>
      </c>
      <c r="Q26" s="48">
        <f t="shared" si="1"/>
        <v>-216000</v>
      </c>
    </row>
    <row r="27" spans="1:17">
      <c r="A27" s="5" t="s">
        <v>192</v>
      </c>
      <c r="B27" s="46"/>
      <c r="C27" s="47"/>
      <c r="D27" s="47"/>
      <c r="E27" s="46"/>
      <c r="F27" s="46"/>
      <c r="G27" s="47"/>
      <c r="H27" s="47"/>
      <c r="I27" s="47"/>
      <c r="J27" s="47"/>
      <c r="K27" s="47"/>
      <c r="L27" s="47"/>
      <c r="M27" s="47"/>
      <c r="N27" s="41">
        <f t="shared" si="2"/>
        <v>0</v>
      </c>
      <c r="O27" s="41">
        <v>112120</v>
      </c>
      <c r="P27" s="48">
        <v>853000</v>
      </c>
      <c r="Q27" s="48">
        <f t="shared" si="1"/>
        <v>965120</v>
      </c>
    </row>
    <row r="28" spans="1:17">
      <c r="A28" s="22" t="s">
        <v>193</v>
      </c>
      <c r="B28" s="46"/>
      <c r="C28" s="47"/>
      <c r="D28" s="47"/>
      <c r="E28" s="46"/>
      <c r="F28" s="46"/>
      <c r="G28" s="47"/>
      <c r="H28" s="47"/>
      <c r="I28" s="47"/>
      <c r="J28" s="47">
        <v>600000</v>
      </c>
      <c r="K28" s="47"/>
      <c r="L28" s="47"/>
      <c r="M28" s="47"/>
      <c r="N28" s="41">
        <f t="shared" si="2"/>
        <v>600000</v>
      </c>
      <c r="O28" s="41">
        <v>152000</v>
      </c>
      <c r="P28" s="48">
        <v>600000</v>
      </c>
      <c r="Q28" s="48">
        <f t="shared" si="1"/>
        <v>152000</v>
      </c>
    </row>
    <row r="29" spans="1:17">
      <c r="A29" s="5" t="s">
        <v>194</v>
      </c>
      <c r="B29" s="46"/>
      <c r="C29" s="47"/>
      <c r="D29" s="46"/>
      <c r="E29" s="46"/>
      <c r="F29" s="46"/>
      <c r="G29" s="47"/>
      <c r="H29" s="47"/>
      <c r="I29" s="47"/>
      <c r="J29" s="47"/>
      <c r="K29" s="47"/>
      <c r="L29" s="47"/>
      <c r="M29" s="47"/>
      <c r="N29" s="41">
        <f t="shared" si="2"/>
        <v>0</v>
      </c>
      <c r="O29" s="41">
        <v>0</v>
      </c>
      <c r="P29" s="48">
        <v>0</v>
      </c>
      <c r="Q29" s="48">
        <f t="shared" si="1"/>
        <v>0</v>
      </c>
    </row>
    <row r="30" spans="1:17">
      <c r="A30" s="22" t="s">
        <v>195</v>
      </c>
      <c r="B30" s="46"/>
      <c r="C30" s="47"/>
      <c r="D30" s="46"/>
      <c r="E30" s="46"/>
      <c r="F30" s="57">
        <v>0</v>
      </c>
      <c r="G30" s="47"/>
      <c r="H30" s="47"/>
      <c r="I30" s="47">
        <v>2000</v>
      </c>
      <c r="J30" s="47">
        <v>2000</v>
      </c>
      <c r="K30" s="47">
        <v>4000</v>
      </c>
      <c r="L30" s="47">
        <v>6000</v>
      </c>
      <c r="M30" s="47"/>
      <c r="N30" s="41">
        <f t="shared" si="2"/>
        <v>14000</v>
      </c>
      <c r="O30" s="41">
        <v>26000</v>
      </c>
      <c r="P30" s="48">
        <v>150000</v>
      </c>
      <c r="Q30" s="48">
        <f t="shared" si="1"/>
        <v>162000</v>
      </c>
    </row>
    <row r="31" spans="1:17">
      <c r="A31" s="5" t="s">
        <v>196</v>
      </c>
      <c r="B31" s="46"/>
      <c r="C31" s="47"/>
      <c r="D31" s="46"/>
      <c r="E31" s="46"/>
      <c r="F31" s="46"/>
      <c r="G31" s="47"/>
      <c r="H31" s="47"/>
      <c r="I31" s="47"/>
      <c r="J31" s="47"/>
      <c r="K31" s="47"/>
      <c r="L31" s="47"/>
      <c r="M31" s="47"/>
      <c r="N31" s="41">
        <f>+SUM(B31:M31)</f>
        <v>0</v>
      </c>
      <c r="O31" s="41">
        <v>0</v>
      </c>
      <c r="P31" s="48">
        <v>0</v>
      </c>
      <c r="Q31" s="48">
        <f t="shared" si="1"/>
        <v>0</v>
      </c>
    </row>
    <row r="32" spans="1:17">
      <c r="A32" s="22" t="s">
        <v>86</v>
      </c>
      <c r="B32" s="46"/>
      <c r="C32" s="47"/>
      <c r="D32" s="47"/>
      <c r="E32" s="46"/>
      <c r="F32" s="46"/>
      <c r="G32" s="47"/>
      <c r="H32" s="47">
        <v>100000</v>
      </c>
      <c r="I32" s="47"/>
      <c r="J32" s="47"/>
      <c r="K32" s="47"/>
      <c r="L32" s="47"/>
      <c r="M32" s="47"/>
      <c r="N32" s="41">
        <f t="shared" si="2"/>
        <v>100000</v>
      </c>
      <c r="O32" s="41">
        <v>200000</v>
      </c>
      <c r="P32" s="48">
        <v>550000</v>
      </c>
      <c r="Q32" s="48">
        <f t="shared" si="1"/>
        <v>650000</v>
      </c>
    </row>
    <row r="33" spans="1:17">
      <c r="A33" s="5" t="s">
        <v>197</v>
      </c>
      <c r="B33" s="46"/>
      <c r="C33" s="47"/>
      <c r="D33" s="46"/>
      <c r="E33" s="46"/>
      <c r="F33" s="46"/>
      <c r="G33" s="47"/>
      <c r="H33" s="47"/>
      <c r="I33" s="47">
        <v>100000</v>
      </c>
      <c r="J33" s="47"/>
      <c r="K33" s="47"/>
      <c r="L33" s="47"/>
      <c r="M33" s="47"/>
      <c r="N33" s="41">
        <f t="shared" si="2"/>
        <v>100000</v>
      </c>
      <c r="O33" s="41">
        <v>248000</v>
      </c>
      <c r="P33" s="48">
        <v>1200000</v>
      </c>
      <c r="Q33" s="48">
        <f t="shared" si="1"/>
        <v>1348000</v>
      </c>
    </row>
    <row r="34" spans="1:17">
      <c r="A34" s="23" t="s">
        <v>55</v>
      </c>
      <c r="B34" s="41">
        <f t="shared" ref="B34:M34" si="3">+SUM(B2:B33)</f>
        <v>0</v>
      </c>
      <c r="C34" s="41">
        <f t="shared" si="3"/>
        <v>600000</v>
      </c>
      <c r="D34" s="41">
        <f t="shared" si="3"/>
        <v>24000</v>
      </c>
      <c r="E34" s="41">
        <f t="shared" si="3"/>
        <v>50000</v>
      </c>
      <c r="F34" s="41">
        <f t="shared" si="3"/>
        <v>44000</v>
      </c>
      <c r="G34" s="41">
        <f t="shared" si="3"/>
        <v>95000</v>
      </c>
      <c r="H34" s="41">
        <f t="shared" si="3"/>
        <v>529600</v>
      </c>
      <c r="I34" s="41">
        <f t="shared" si="3"/>
        <v>440400</v>
      </c>
      <c r="J34" s="41">
        <f t="shared" si="3"/>
        <v>1618600</v>
      </c>
      <c r="K34" s="41">
        <f t="shared" si="3"/>
        <v>177000</v>
      </c>
      <c r="L34" s="41">
        <f t="shared" si="3"/>
        <v>1954500</v>
      </c>
      <c r="M34" s="41">
        <f t="shared" si="3"/>
        <v>0</v>
      </c>
      <c r="N34" s="41">
        <f>+SUM(B34:M34)</f>
        <v>5533100</v>
      </c>
      <c r="O34" s="41">
        <f>SUM(O2:O33)</f>
        <v>2468480</v>
      </c>
      <c r="P34" s="41">
        <f>SUM(P2:P33)</f>
        <v>12891000</v>
      </c>
      <c r="Q34" s="41">
        <f>SUM(Q2:Q33)</f>
        <v>9826380</v>
      </c>
    </row>
    <row r="35" spans="1:17">
      <c r="P35" s="48"/>
    </row>
    <row r="36" spans="1:17">
      <c r="N36" s="48"/>
      <c r="O36" s="48"/>
    </row>
    <row r="39" spans="1:17">
      <c r="F39" s="48">
        <f>D7*(4/100)</f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4E43-4271-40E4-81FB-86DB43AE6C86}">
  <dimension ref="A1:O39"/>
  <sheetViews>
    <sheetView zoomScale="90" zoomScaleNormal="9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J41" sqref="J41"/>
    </sheetView>
  </sheetViews>
  <sheetFormatPr baseColWidth="10" defaultRowHeight="15"/>
  <cols>
    <col min="1" max="1" width="22.85546875" customWidth="1"/>
    <col min="2" max="2" width="11.7109375" customWidth="1"/>
    <col min="3" max="3" width="12.140625" customWidth="1"/>
    <col min="4" max="12" width="13.140625" bestFit="1" customWidth="1"/>
    <col min="13" max="13" width="11.5703125" bestFit="1" customWidth="1"/>
    <col min="14" max="14" width="14.7109375" bestFit="1" customWidth="1"/>
  </cols>
  <sheetData>
    <row r="1" spans="1:15">
      <c r="A1" t="s">
        <v>80</v>
      </c>
      <c r="B1" s="37" t="s">
        <v>65</v>
      </c>
      <c r="C1" s="37" t="s">
        <v>66</v>
      </c>
      <c r="D1" s="37" t="s">
        <v>67</v>
      </c>
      <c r="E1" s="37" t="s">
        <v>81</v>
      </c>
      <c r="F1" s="37" t="s">
        <v>82</v>
      </c>
      <c r="G1" s="37" t="s">
        <v>58</v>
      </c>
      <c r="H1" s="37" t="s">
        <v>59</v>
      </c>
      <c r="I1" s="37" t="s">
        <v>60</v>
      </c>
      <c r="J1" s="37" t="s">
        <v>61</v>
      </c>
      <c r="K1" s="37" t="s">
        <v>62</v>
      </c>
      <c r="L1" s="37" t="s">
        <v>63</v>
      </c>
      <c r="M1" s="37" t="s">
        <v>64</v>
      </c>
      <c r="N1" s="37" t="s">
        <v>55</v>
      </c>
    </row>
    <row r="2" spans="1:15">
      <c r="A2" s="22" t="s">
        <v>167</v>
      </c>
      <c r="B2" s="61">
        <f>(prets!B2*(4/100))</f>
        <v>0</v>
      </c>
      <c r="C2" s="61">
        <f>(prets!C2*(4/100))</f>
        <v>0</v>
      </c>
      <c r="D2" s="61">
        <f>(prets!D2*(4/100))</f>
        <v>0</v>
      </c>
      <c r="E2" s="61">
        <f>(prets!E2*(4/100))</f>
        <v>16000</v>
      </c>
      <c r="F2" s="61">
        <f>(prets!F2*(4/100))</f>
        <v>16000</v>
      </c>
      <c r="G2" s="61">
        <f>(prets!G2*(4/100))</f>
        <v>16000</v>
      </c>
      <c r="H2" s="61">
        <f>(prets!H2*(4/100))</f>
        <v>16000</v>
      </c>
      <c r="I2" s="61">
        <f>(prets!I2*(4/100))</f>
        <v>16000</v>
      </c>
      <c r="J2" s="61">
        <f>(prets!J2*(4/100))</f>
        <v>16000</v>
      </c>
      <c r="K2" s="61">
        <f>(prets!K2*(4/100))</f>
        <v>16000</v>
      </c>
      <c r="L2" s="61">
        <f>(prets!L2*(4/100))</f>
        <v>12000</v>
      </c>
      <c r="M2" s="61">
        <f>(prets!M2*(4/100))</f>
        <v>0</v>
      </c>
      <c r="N2" s="62">
        <f>+SUM(B2:M2)</f>
        <v>124000</v>
      </c>
      <c r="O2">
        <v>123000</v>
      </c>
    </row>
    <row r="3" spans="1:15">
      <c r="A3" s="5" t="s">
        <v>168</v>
      </c>
      <c r="B3" s="61">
        <f>(prets!B3*(4/100))</f>
        <v>0</v>
      </c>
      <c r="C3" s="61">
        <f>(prets!C3*(4/100))</f>
        <v>0</v>
      </c>
      <c r="D3" s="61">
        <f>(prets!D3*(4/100))</f>
        <v>0</v>
      </c>
      <c r="E3" s="61">
        <f>(prets!E3*(4/100))</f>
        <v>0</v>
      </c>
      <c r="F3" s="61">
        <f>(prets!F3*(4/100))</f>
        <v>0</v>
      </c>
      <c r="G3" s="61">
        <f>(prets!G3*(4/100))</f>
        <v>0</v>
      </c>
      <c r="H3" s="61">
        <f>(prets!H3*(4/100))</f>
        <v>12000</v>
      </c>
      <c r="I3" s="61">
        <f>(prets!I3*(4/100))</f>
        <v>12000</v>
      </c>
      <c r="J3" s="61">
        <f>(prets!J3*(4/100))</f>
        <v>12000</v>
      </c>
      <c r="K3" s="61">
        <f>(prets!K3*(4/100))</f>
        <v>12000</v>
      </c>
      <c r="L3" s="61">
        <f>(prets!L3*(4/100))</f>
        <v>12000</v>
      </c>
      <c r="M3" s="61">
        <f>(prets!M3*(4/100))</f>
        <v>0</v>
      </c>
      <c r="N3" s="62">
        <f t="shared" ref="N3:N33" si="0">+SUM(B3:M3)</f>
        <v>60000</v>
      </c>
    </row>
    <row r="4" spans="1:15">
      <c r="A4" s="22" t="s">
        <v>169</v>
      </c>
      <c r="B4" s="61">
        <f>(prets!B4*(4/100))</f>
        <v>0</v>
      </c>
      <c r="C4" s="61">
        <f>(prets!C4*(4/100))</f>
        <v>0</v>
      </c>
      <c r="D4" s="61">
        <f>(prets!D4*(4/100))</f>
        <v>0</v>
      </c>
      <c r="E4" s="61">
        <f>(prets!E4*(4/100))</f>
        <v>0</v>
      </c>
      <c r="F4" s="61">
        <f>(prets!F4*(4/100))</f>
        <v>0</v>
      </c>
      <c r="G4" s="61">
        <f>(prets!G4*(4/100))</f>
        <v>0</v>
      </c>
      <c r="H4" s="61">
        <f>(prets!H4*(4/100))</f>
        <v>0</v>
      </c>
      <c r="I4" s="61">
        <f>(prets!I4*(4/100))</f>
        <v>0</v>
      </c>
      <c r="J4" s="61">
        <f>(prets!J4*(4/100))</f>
        <v>0</v>
      </c>
      <c r="K4" s="61">
        <f>(prets!K4*(4/100))</f>
        <v>0</v>
      </c>
      <c r="L4" s="61">
        <f>(prets!L4*(4/100))</f>
        <v>0</v>
      </c>
      <c r="M4" s="61">
        <f>(prets!M4*(4/100))</f>
        <v>0</v>
      </c>
      <c r="N4" s="62">
        <f t="shared" si="0"/>
        <v>0</v>
      </c>
    </row>
    <row r="5" spans="1:15">
      <c r="A5" s="5" t="s">
        <v>170</v>
      </c>
      <c r="B5" s="61">
        <f>(prets!B5*(4/100))</f>
        <v>0</v>
      </c>
      <c r="C5" s="61">
        <f>(prets!C5*(4/100))</f>
        <v>0</v>
      </c>
      <c r="D5" s="61">
        <f>(prets!D5*(4/100))</f>
        <v>0</v>
      </c>
      <c r="E5" s="61">
        <f>(prets!E5*(4/100))</f>
        <v>6000</v>
      </c>
      <c r="F5" s="61">
        <f>(prets!F5*(4/100))</f>
        <v>6000</v>
      </c>
      <c r="G5" s="61">
        <f>(prets!G5*(4/100))</f>
        <v>6000</v>
      </c>
      <c r="H5" s="61">
        <f>(prets!H5*(4/100))</f>
        <v>6000</v>
      </c>
      <c r="I5" s="61">
        <f>(prets!I5*(4/100))</f>
        <v>12000</v>
      </c>
      <c r="J5" s="61">
        <f>(prets!J5*(4/100))</f>
        <v>12000</v>
      </c>
      <c r="K5" s="61">
        <f>(prets!K5*(4/100))</f>
        <v>12000</v>
      </c>
      <c r="L5" s="61">
        <f>(prets!L5*(4/100))</f>
        <v>0</v>
      </c>
      <c r="M5" s="61">
        <f>(prets!M5*(4/100))</f>
        <v>0</v>
      </c>
      <c r="N5" s="62">
        <f t="shared" si="0"/>
        <v>60000</v>
      </c>
    </row>
    <row r="6" spans="1:15">
      <c r="A6" s="22" t="s">
        <v>171</v>
      </c>
      <c r="B6" s="61">
        <f>(prets!B6*(4/100))</f>
        <v>0</v>
      </c>
      <c r="C6" s="61">
        <f>(prets!C6*(4/100))</f>
        <v>0</v>
      </c>
      <c r="D6" s="61">
        <f>(prets!D6*(4/100))</f>
        <v>4000</v>
      </c>
      <c r="E6" s="61">
        <f>(prets!E6*(4/100))</f>
        <v>4000</v>
      </c>
      <c r="F6" s="61">
        <f>(prets!F6*(4/100))</f>
        <v>4000</v>
      </c>
      <c r="G6" s="61">
        <f>(prets!G6*(4/100))</f>
        <v>4000</v>
      </c>
      <c r="H6" s="61">
        <f>(prets!H6*(4/100))</f>
        <v>4000</v>
      </c>
      <c r="I6" s="61">
        <f>(prets!I6*(4/100))</f>
        <v>1000</v>
      </c>
      <c r="J6" s="61">
        <f>(prets!J6*(4/100))</f>
        <v>1000</v>
      </c>
      <c r="K6" s="61">
        <f>(prets!K6*(4/100))</f>
        <v>1000</v>
      </c>
      <c r="L6" s="61">
        <f>(prets!L6*(4/100))</f>
        <v>9000</v>
      </c>
      <c r="M6" s="61">
        <f>(prets!M6*(4/100))</f>
        <v>0</v>
      </c>
      <c r="N6" s="62">
        <f t="shared" si="0"/>
        <v>32000</v>
      </c>
      <c r="O6">
        <v>28000</v>
      </c>
    </row>
    <row r="7" spans="1:15">
      <c r="A7" s="5" t="s">
        <v>172</v>
      </c>
      <c r="B7" s="61">
        <f>(prets!B7*(4/100))</f>
        <v>8000</v>
      </c>
      <c r="C7" s="61">
        <f>(prets!C7*(4/100))</f>
        <v>8000</v>
      </c>
      <c r="D7" s="61">
        <f>(prets!D7*(4/100))</f>
        <v>10000</v>
      </c>
      <c r="E7" s="61">
        <f>(prets!E7*(4/100))</f>
        <v>10000</v>
      </c>
      <c r="F7" s="61">
        <f>(prets!F7*(4/100))</f>
        <v>10000</v>
      </c>
      <c r="G7" s="61">
        <f>(prets!G7*(4/100))</f>
        <v>18000</v>
      </c>
      <c r="H7" s="61">
        <f>(prets!H7*(4/100))</f>
        <v>18000</v>
      </c>
      <c r="I7" s="61">
        <f>(prets!I7*(4/100))</f>
        <v>18000</v>
      </c>
      <c r="J7" s="61">
        <f>(prets!J7*(4/100))</f>
        <v>18000</v>
      </c>
      <c r="K7" s="61">
        <f>(prets!K7*(4/100))</f>
        <v>18000</v>
      </c>
      <c r="L7" s="61">
        <f>(prets!L7*(4/100))</f>
        <v>20000</v>
      </c>
      <c r="M7" s="61">
        <f>(prets!M7*(4/100))</f>
        <v>0</v>
      </c>
      <c r="N7" s="62">
        <f t="shared" si="0"/>
        <v>156000</v>
      </c>
    </row>
    <row r="8" spans="1:15">
      <c r="A8" s="22" t="s">
        <v>173</v>
      </c>
      <c r="B8" s="61">
        <f>(prets!B8*(4/100))</f>
        <v>0</v>
      </c>
      <c r="C8" s="61">
        <f>(prets!C8*(4/100))</f>
        <v>0</v>
      </c>
      <c r="D8" s="61">
        <f>(prets!D8*(4/100))</f>
        <v>12000</v>
      </c>
      <c r="E8" s="61">
        <f>(prets!E8*(4/100))</f>
        <v>12000</v>
      </c>
      <c r="F8" s="61">
        <f>(prets!F8*(4/100))</f>
        <v>12000</v>
      </c>
      <c r="G8" s="61">
        <f>(prets!G8*(4/100))</f>
        <v>12000</v>
      </c>
      <c r="H8" s="61">
        <f>(prets!H8*(4/100))</f>
        <v>12000</v>
      </c>
      <c r="I8" s="61">
        <f>(prets!I8*(4/100))</f>
        <v>12000</v>
      </c>
      <c r="J8" s="61">
        <f>(prets!J8*(4/100))</f>
        <v>12000</v>
      </c>
      <c r="K8" s="61">
        <f>(prets!K8*(4/100))</f>
        <v>12000</v>
      </c>
      <c r="L8" s="61">
        <f>(prets!L8*(4/100))</f>
        <v>12000</v>
      </c>
      <c r="M8" s="61">
        <f>(prets!M8*(4/100))</f>
        <v>0</v>
      </c>
      <c r="N8" s="62">
        <f t="shared" si="0"/>
        <v>108000</v>
      </c>
    </row>
    <row r="9" spans="1:15">
      <c r="A9" s="5" t="s">
        <v>174</v>
      </c>
      <c r="B9" s="61">
        <f>(prets!B9*(4/100))</f>
        <v>0</v>
      </c>
      <c r="C9" s="61">
        <f>(prets!C9*(4/100))</f>
        <v>8000</v>
      </c>
      <c r="D9" s="61">
        <f>(prets!D9*(4/100))</f>
        <v>8000</v>
      </c>
      <c r="E9" s="61">
        <f>(prets!E9*(4/100))</f>
        <v>8000</v>
      </c>
      <c r="F9" s="61">
        <f>(prets!F9*(4/100))</f>
        <v>14000</v>
      </c>
      <c r="G9" s="61">
        <f>(prets!G9*(4/100))</f>
        <v>18000</v>
      </c>
      <c r="H9" s="61">
        <f>(prets!H9*(4/100))</f>
        <v>18000</v>
      </c>
      <c r="I9" s="61">
        <f>(prets!I9*(4/100))</f>
        <v>18000</v>
      </c>
      <c r="J9" s="61">
        <f>(prets!J9*(4/100))</f>
        <v>18000</v>
      </c>
      <c r="K9" s="61">
        <f>(prets!K9*(4/100))</f>
        <v>12000</v>
      </c>
      <c r="L9" s="61">
        <f>(prets!L9*(4/100))</f>
        <v>12000</v>
      </c>
      <c r="M9" s="61">
        <f>(prets!M9*(4/100))</f>
        <v>0</v>
      </c>
      <c r="N9" s="62">
        <f t="shared" si="0"/>
        <v>134000</v>
      </c>
      <c r="O9">
        <v>120000</v>
      </c>
    </row>
    <row r="10" spans="1:15">
      <c r="A10" s="22" t="s">
        <v>175</v>
      </c>
      <c r="B10" s="61">
        <f>(prets!B10*(4/100))</f>
        <v>0</v>
      </c>
      <c r="C10" s="61">
        <f>(prets!C10*(4/100))</f>
        <v>0</v>
      </c>
      <c r="D10" s="61">
        <f>(prets!D10*(4/100))</f>
        <v>0</v>
      </c>
      <c r="E10" s="61">
        <f>(prets!E10*(4/100))</f>
        <v>0</v>
      </c>
      <c r="F10" s="61">
        <f>(prets!F10*(4/100))</f>
        <v>0</v>
      </c>
      <c r="G10" s="61">
        <f>(prets!G10*(4/100))</f>
        <v>0</v>
      </c>
      <c r="H10" s="61">
        <f>(prets!H10*(4/100))</f>
        <v>6000</v>
      </c>
      <c r="I10" s="61">
        <f>(prets!I10*(4/100))</f>
        <v>26000</v>
      </c>
      <c r="J10" s="61">
        <f>(prets!J10*(4/100))</f>
        <v>58000</v>
      </c>
      <c r="K10" s="61">
        <f>(prets!K10*(4/100))</f>
        <v>58000</v>
      </c>
      <c r="L10" s="61">
        <f>(prets!L10*(4/100))</f>
        <v>58000</v>
      </c>
      <c r="M10" s="61">
        <f>(prets!M10*(4/100))</f>
        <v>0</v>
      </c>
      <c r="N10" s="62">
        <f t="shared" si="0"/>
        <v>206000</v>
      </c>
      <c r="O10">
        <v>172000</v>
      </c>
    </row>
    <row r="11" spans="1:15">
      <c r="A11" s="5" t="s">
        <v>176</v>
      </c>
      <c r="B11" s="61">
        <f>(prets!B11*(4/100))</f>
        <v>0</v>
      </c>
      <c r="C11" s="61">
        <f>(prets!C11*(4/100))</f>
        <v>10160</v>
      </c>
      <c r="D11" s="61">
        <f>(prets!D11*(4/100))</f>
        <v>10160</v>
      </c>
      <c r="E11" s="61">
        <f>(prets!E11*(4/100))</f>
        <v>18160</v>
      </c>
      <c r="F11" s="61">
        <f>(prets!F11*(4/100))</f>
        <v>26160</v>
      </c>
      <c r="G11" s="61">
        <f>(prets!G11*(4/100))</f>
        <v>26280</v>
      </c>
      <c r="H11" s="61">
        <f>(prets!H11*(4/100))</f>
        <v>26280</v>
      </c>
      <c r="I11" s="61">
        <f>(prets!I11*(4/100))</f>
        <v>18280</v>
      </c>
      <c r="J11" s="61">
        <f>(prets!J11*(4/100))</f>
        <v>10280</v>
      </c>
      <c r="K11" s="61">
        <f>(prets!K11*(4/100))</f>
        <v>10280</v>
      </c>
      <c r="L11" s="61">
        <f>(prets!L11*(4/100))</f>
        <v>26280</v>
      </c>
      <c r="M11" s="61">
        <f>(prets!M11*(4/100))</f>
        <v>0</v>
      </c>
      <c r="N11" s="62">
        <f t="shared" si="0"/>
        <v>182320</v>
      </c>
    </row>
    <row r="12" spans="1:15">
      <c r="A12" s="22" t="s">
        <v>177</v>
      </c>
      <c r="B12" s="61">
        <f>(prets!B12*(4/100))</f>
        <v>0</v>
      </c>
      <c r="C12" s="61">
        <f>(prets!C12*(4/100))</f>
        <v>0</v>
      </c>
      <c r="D12" s="61">
        <f>(prets!D12*(4/100))</f>
        <v>0</v>
      </c>
      <c r="E12" s="61">
        <f>(prets!E12*(4/100))</f>
        <v>0</v>
      </c>
      <c r="F12" s="61">
        <f>(prets!F12*(4/100))</f>
        <v>0</v>
      </c>
      <c r="G12" s="61">
        <f>(prets!G12*(4/100))</f>
        <v>0</v>
      </c>
      <c r="H12" s="61">
        <f>(prets!H12*(4/100))</f>
        <v>0</v>
      </c>
      <c r="I12" s="61">
        <f>(prets!I12*(4/100))</f>
        <v>0</v>
      </c>
      <c r="J12" s="61">
        <f>(prets!J12*(4/100))</f>
        <v>0</v>
      </c>
      <c r="K12" s="61">
        <f>(prets!K12*(4/100))</f>
        <v>8000</v>
      </c>
      <c r="L12" s="61">
        <f>(prets!L12*(4/100))</f>
        <v>8000</v>
      </c>
      <c r="M12" s="61">
        <f>(prets!M12*(4/100))</f>
        <v>0</v>
      </c>
      <c r="N12" s="62">
        <f t="shared" si="0"/>
        <v>16000</v>
      </c>
    </row>
    <row r="13" spans="1:15">
      <c r="A13" s="5" t="s">
        <v>178</v>
      </c>
      <c r="B13" s="61">
        <f>(prets!B13*(4/100))</f>
        <v>4000</v>
      </c>
      <c r="C13" s="61">
        <f>(prets!C13*(4/100))</f>
        <v>4000</v>
      </c>
      <c r="D13" s="61">
        <f>(prets!D13*(4/100))</f>
        <v>12000</v>
      </c>
      <c r="E13" s="61">
        <f>(prets!E13*(4/100))</f>
        <v>12000</v>
      </c>
      <c r="F13" s="61">
        <f>(prets!F13*(4/100))</f>
        <v>12000</v>
      </c>
      <c r="G13" s="61">
        <f>(prets!G13*(4/100))</f>
        <v>9600</v>
      </c>
      <c r="H13" s="61">
        <f>(prets!H13*(4/100))</f>
        <v>15600</v>
      </c>
      <c r="I13" s="61">
        <f>(prets!I13*(4/100))</f>
        <v>13600</v>
      </c>
      <c r="J13" s="61">
        <f>(prets!J13*(4/100))</f>
        <v>8000</v>
      </c>
      <c r="K13" s="61">
        <f>(prets!K13*(4/100))</f>
        <v>0</v>
      </c>
      <c r="L13" s="61">
        <f>(prets!L13*(4/100))</f>
        <v>0</v>
      </c>
      <c r="M13" s="61">
        <f>(prets!M13*(4/100))</f>
        <v>0</v>
      </c>
      <c r="N13" s="62">
        <f t="shared" si="0"/>
        <v>90800</v>
      </c>
    </row>
    <row r="14" spans="1:15">
      <c r="A14" s="22" t="s">
        <v>179</v>
      </c>
      <c r="B14" s="61">
        <f>(prets!B14*(4/100))</f>
        <v>0</v>
      </c>
      <c r="C14" s="61">
        <f>(prets!C14*(4/100))</f>
        <v>0</v>
      </c>
      <c r="D14" s="61">
        <f>(prets!D14*(4/100))</f>
        <v>0</v>
      </c>
      <c r="E14" s="61">
        <f>(prets!E14*(4/100))</f>
        <v>0</v>
      </c>
      <c r="F14" s="61">
        <f>(prets!F14*(4/100))</f>
        <v>0</v>
      </c>
      <c r="G14" s="61">
        <f>(prets!G14*(4/100))</f>
        <v>0</v>
      </c>
      <c r="H14" s="61">
        <f>(prets!H14*(4/100))</f>
        <v>0</v>
      </c>
      <c r="I14" s="61">
        <f>(prets!I14*(4/100))</f>
        <v>0</v>
      </c>
      <c r="J14" s="61">
        <f>(prets!J14*(4/100))</f>
        <v>0</v>
      </c>
      <c r="K14" s="61">
        <f>(prets!K14*(4/100))</f>
        <v>0</v>
      </c>
      <c r="L14" s="61">
        <f>(prets!L14*(4/100))</f>
        <v>0</v>
      </c>
      <c r="M14" s="61">
        <f>(prets!M14*(4/100))</f>
        <v>0</v>
      </c>
      <c r="N14" s="62">
        <f t="shared" si="0"/>
        <v>0</v>
      </c>
    </row>
    <row r="15" spans="1:15">
      <c r="A15" s="5" t="s">
        <v>180</v>
      </c>
      <c r="B15" s="61">
        <f>(prets!B15*(4/100))</f>
        <v>0</v>
      </c>
      <c r="C15" s="61">
        <f>(prets!C15*(4/100))</f>
        <v>1520</v>
      </c>
      <c r="D15" s="61">
        <f>(prets!D15*(4/100))</f>
        <v>5520</v>
      </c>
      <c r="E15" s="61">
        <f>(prets!E15*(4/100))</f>
        <v>11520</v>
      </c>
      <c r="F15" s="61">
        <f>(prets!F15*(4/100))</f>
        <v>11520</v>
      </c>
      <c r="G15" s="61">
        <f>(prets!G15*(4/100))</f>
        <v>11520</v>
      </c>
      <c r="H15" s="61">
        <f>(prets!H15*(4/100))</f>
        <v>11520</v>
      </c>
      <c r="I15" s="61">
        <f>(prets!I15*(4/100))</f>
        <v>11520</v>
      </c>
      <c r="J15" s="61">
        <f>(prets!J15*(4/100))</f>
        <v>11520</v>
      </c>
      <c r="K15" s="61">
        <f>(prets!K15*(4/100))</f>
        <v>11520</v>
      </c>
      <c r="L15" s="61">
        <f>(prets!L15*(4/100))</f>
        <v>11520</v>
      </c>
      <c r="M15" s="61">
        <f>(prets!M15*(4/100))</f>
        <v>0</v>
      </c>
      <c r="N15" s="62">
        <f t="shared" si="0"/>
        <v>99200</v>
      </c>
    </row>
    <row r="16" spans="1:15">
      <c r="A16" s="22" t="s">
        <v>181</v>
      </c>
      <c r="B16" s="61">
        <f>(prets!B16*(4/100))</f>
        <v>0</v>
      </c>
      <c r="C16" s="61">
        <f>(prets!C16*(4/100))</f>
        <v>0</v>
      </c>
      <c r="D16" s="61">
        <f>(prets!D16*(4/100))</f>
        <v>0</v>
      </c>
      <c r="E16" s="61">
        <f>(prets!E16*(4/100))</f>
        <v>0</v>
      </c>
      <c r="F16" s="61">
        <f>(prets!F16*(4/100))</f>
        <v>0</v>
      </c>
      <c r="G16" s="61">
        <f>(prets!G16*(4/100))</f>
        <v>0</v>
      </c>
      <c r="H16" s="61">
        <f>(prets!H16*(4/100))</f>
        <v>0</v>
      </c>
      <c r="I16" s="61">
        <f>(prets!I16*(4/100))</f>
        <v>0</v>
      </c>
      <c r="J16" s="61">
        <f>(prets!J16*(4/100))</f>
        <v>0</v>
      </c>
      <c r="K16" s="61">
        <f>(prets!K16*(4/100))</f>
        <v>0</v>
      </c>
      <c r="L16" s="61">
        <f>(prets!L16*(4/100))</f>
        <v>0</v>
      </c>
      <c r="M16" s="61">
        <f>(prets!M16*(4/100))</f>
        <v>0</v>
      </c>
      <c r="N16" s="62">
        <f t="shared" si="0"/>
        <v>0</v>
      </c>
    </row>
    <row r="17" spans="1:14">
      <c r="A17" s="5" t="s">
        <v>182</v>
      </c>
      <c r="B17" s="61">
        <f>(prets!B17*(4/100))</f>
        <v>0</v>
      </c>
      <c r="C17" s="61">
        <f>(prets!C17*(4/100))</f>
        <v>0</v>
      </c>
      <c r="D17" s="61">
        <f>(prets!D17*(4/100))</f>
        <v>0</v>
      </c>
      <c r="E17" s="61">
        <f>(prets!E17*(4/100))</f>
        <v>0</v>
      </c>
      <c r="F17" s="61">
        <f>(prets!F17*(4/100))</f>
        <v>0</v>
      </c>
      <c r="G17" s="61">
        <f>(prets!G17*(4/100))</f>
        <v>0</v>
      </c>
      <c r="H17" s="61">
        <f>(prets!H17*(4/100))</f>
        <v>0</v>
      </c>
      <c r="I17" s="61">
        <f>(prets!I17*(4/100))</f>
        <v>0</v>
      </c>
      <c r="J17" s="61">
        <f>(prets!J17*(4/100))</f>
        <v>0</v>
      </c>
      <c r="K17" s="61">
        <f>(prets!K17*(4/100))</f>
        <v>0</v>
      </c>
      <c r="L17" s="61">
        <f>(prets!L17*(4/100))</f>
        <v>0</v>
      </c>
      <c r="M17" s="61">
        <f>(prets!M17*(4/100))</f>
        <v>0</v>
      </c>
      <c r="N17" s="62">
        <f t="shared" si="0"/>
        <v>0</v>
      </c>
    </row>
    <row r="18" spans="1:14">
      <c r="A18" s="22" t="s">
        <v>183</v>
      </c>
      <c r="B18" s="61">
        <f>(prets!B18*(4/100))</f>
        <v>0</v>
      </c>
      <c r="C18" s="61">
        <f>(prets!C18*(4/100))</f>
        <v>0</v>
      </c>
      <c r="D18" s="61">
        <f>(prets!D18*(4/100))</f>
        <v>8000</v>
      </c>
      <c r="E18" s="61">
        <f>(prets!E18*(4/100))</f>
        <v>8000</v>
      </c>
      <c r="F18" s="61">
        <f>(prets!F18*(4/100))</f>
        <v>8000</v>
      </c>
      <c r="G18" s="61">
        <f>(prets!G18*(4/100))</f>
        <v>8000</v>
      </c>
      <c r="H18" s="61">
        <f>(prets!H18*(4/100))</f>
        <v>8000</v>
      </c>
      <c r="I18" s="61">
        <f>(prets!I18*(4/100))</f>
        <v>14000</v>
      </c>
      <c r="J18" s="61">
        <f>(prets!J18*(4/100))</f>
        <v>14000</v>
      </c>
      <c r="K18" s="61">
        <f>(prets!K18*(4/100))</f>
        <v>14000</v>
      </c>
      <c r="L18" s="61">
        <f>(prets!L18*(4/100))</f>
        <v>14000</v>
      </c>
      <c r="M18" s="61">
        <f>(prets!M18*(4/100))</f>
        <v>0</v>
      </c>
      <c r="N18" s="62">
        <f t="shared" si="0"/>
        <v>96000</v>
      </c>
    </row>
    <row r="19" spans="1:14">
      <c r="A19" s="5" t="s">
        <v>184</v>
      </c>
      <c r="B19" s="61">
        <f>(prets!B19*(4/100))</f>
        <v>4000</v>
      </c>
      <c r="C19" s="61">
        <f>(prets!C19*(4/100))</f>
        <v>4000</v>
      </c>
      <c r="D19" s="61">
        <f>(prets!D19*(4/100))</f>
        <v>4000</v>
      </c>
      <c r="E19" s="61">
        <f>(prets!E19*(4/100))</f>
        <v>5200</v>
      </c>
      <c r="F19" s="61">
        <f>(prets!F19*(4/100))</f>
        <v>5200</v>
      </c>
      <c r="G19" s="61">
        <f>(prets!G19*(4/100))</f>
        <v>5200</v>
      </c>
      <c r="H19" s="61">
        <f>(prets!H19*(4/100))</f>
        <v>5200</v>
      </c>
      <c r="I19" s="61">
        <f>(prets!I19*(4/100))</f>
        <v>5200</v>
      </c>
      <c r="J19" s="61">
        <f>(prets!J19*(4/100))</f>
        <v>5200</v>
      </c>
      <c r="K19" s="61">
        <f>(prets!K19*(4/100))</f>
        <v>5200</v>
      </c>
      <c r="L19" s="61">
        <f>(prets!L19*(4/100))</f>
        <v>5200</v>
      </c>
      <c r="M19" s="61">
        <f>(prets!M19*(4/100))</f>
        <v>0</v>
      </c>
      <c r="N19" s="62">
        <f t="shared" si="0"/>
        <v>53600</v>
      </c>
    </row>
    <row r="20" spans="1:14">
      <c r="A20" s="22" t="s">
        <v>185</v>
      </c>
      <c r="B20" s="61">
        <f>(prets!B20*(4/100))</f>
        <v>0</v>
      </c>
      <c r="C20" s="61">
        <f>(prets!C20*(4/100))</f>
        <v>0</v>
      </c>
      <c r="D20" s="61">
        <f>(prets!D20*(4/100))</f>
        <v>0</v>
      </c>
      <c r="E20" s="61">
        <f>(prets!E20*(4/100))</f>
        <v>4000</v>
      </c>
      <c r="F20" s="61">
        <f>(prets!F20*(4/100))</f>
        <v>3000</v>
      </c>
      <c r="G20" s="61">
        <f>(prets!G20*(4/100))</f>
        <v>2120</v>
      </c>
      <c r="H20" s="61">
        <f>(prets!H20*(4/100))</f>
        <v>0</v>
      </c>
      <c r="I20" s="61">
        <f>(prets!I20*(4/100))</f>
        <v>0</v>
      </c>
      <c r="J20" s="61">
        <f>(prets!J20*(4/100))</f>
        <v>0</v>
      </c>
      <c r="K20" s="61">
        <f>(prets!K20*(4/100))</f>
        <v>0</v>
      </c>
      <c r="L20" s="61">
        <f>(prets!L20*(4/100))</f>
        <v>0</v>
      </c>
      <c r="M20" s="61">
        <f>(prets!M20*(4/100))</f>
        <v>0</v>
      </c>
      <c r="N20" s="62">
        <f t="shared" si="0"/>
        <v>9120</v>
      </c>
    </row>
    <row r="21" spans="1:14">
      <c r="A21" s="5" t="s">
        <v>186</v>
      </c>
      <c r="B21" s="61">
        <f>(prets!B21*(4/100))</f>
        <v>0</v>
      </c>
      <c r="C21" s="61">
        <f>(prets!C21*(4/100))</f>
        <v>0</v>
      </c>
      <c r="D21" s="61">
        <f>(prets!D21*(4/100))</f>
        <v>36800</v>
      </c>
      <c r="E21" s="61">
        <f>(prets!E21*(4/100))</f>
        <v>0</v>
      </c>
      <c r="F21" s="61">
        <f>(prets!F21*(4/100))</f>
        <v>0</v>
      </c>
      <c r="G21" s="61">
        <f>(prets!G21*(4/100))</f>
        <v>0</v>
      </c>
      <c r="H21" s="61">
        <f>(prets!H21*(4/100))</f>
        <v>2000</v>
      </c>
      <c r="I21" s="61">
        <f>(prets!I21*(4/100))</f>
        <v>6000</v>
      </c>
      <c r="J21" s="61">
        <f>(prets!J21*(4/100))</f>
        <v>6000</v>
      </c>
      <c r="K21" s="61">
        <f>(prets!K21*(4/100))</f>
        <v>6000</v>
      </c>
      <c r="L21" s="61">
        <f>(prets!L21*(4/100))</f>
        <v>6000</v>
      </c>
      <c r="M21" s="61">
        <f>(prets!M21*(4/100))</f>
        <v>0</v>
      </c>
      <c r="N21" s="62">
        <f t="shared" si="0"/>
        <v>62800</v>
      </c>
    </row>
    <row r="22" spans="1:14">
      <c r="A22" s="22" t="s">
        <v>187</v>
      </c>
      <c r="B22" s="61">
        <f>(prets!B22*(4/100))</f>
        <v>0</v>
      </c>
      <c r="C22" s="61">
        <f>(prets!C22*(4/100))</f>
        <v>0</v>
      </c>
      <c r="D22" s="61">
        <f>(prets!D22*(4/100))</f>
        <v>0</v>
      </c>
      <c r="E22" s="61">
        <f>(prets!E22*(4/100))</f>
        <v>0</v>
      </c>
      <c r="F22" s="61">
        <f>(prets!F22*(4/100))</f>
        <v>0</v>
      </c>
      <c r="G22" s="61">
        <f>(prets!G22*(4/100))</f>
        <v>0</v>
      </c>
      <c r="H22" s="61">
        <f>(prets!H22*(4/100))</f>
        <v>0</v>
      </c>
      <c r="I22" s="61">
        <f>(prets!I22*(4/100))</f>
        <v>0</v>
      </c>
      <c r="J22" s="61">
        <f>(prets!J22*(4/100))</f>
        <v>0</v>
      </c>
      <c r="K22" s="61">
        <f>(prets!K22*(4/100))</f>
        <v>0</v>
      </c>
      <c r="L22" s="61">
        <f>(prets!L22*(4/100))</f>
        <v>0</v>
      </c>
      <c r="M22" s="61">
        <f>(prets!M22*(4/100))</f>
        <v>0</v>
      </c>
      <c r="N22" s="62">
        <f t="shared" si="0"/>
        <v>0</v>
      </c>
    </row>
    <row r="23" spans="1:14">
      <c r="A23" s="5" t="s">
        <v>188</v>
      </c>
      <c r="B23" s="61">
        <f>(prets!B23*(4/100))</f>
        <v>0</v>
      </c>
      <c r="C23" s="61">
        <f>(prets!C23*(4/100))</f>
        <v>0</v>
      </c>
      <c r="D23" s="61">
        <f>(prets!D23*(4/100))</f>
        <v>0</v>
      </c>
      <c r="E23" s="61">
        <f>(prets!E23*(4/100))</f>
        <v>0</v>
      </c>
      <c r="F23" s="61">
        <f>(prets!F23*(4/100))</f>
        <v>0</v>
      </c>
      <c r="G23" s="61">
        <f>(prets!G23*(4/100))</f>
        <v>0</v>
      </c>
      <c r="H23" s="61">
        <f>(prets!H23*(4/100))</f>
        <v>0</v>
      </c>
      <c r="I23" s="61">
        <f>(prets!I23*(4/100))</f>
        <v>0</v>
      </c>
      <c r="J23" s="61">
        <f>(prets!J23*(4/100))</f>
        <v>0</v>
      </c>
      <c r="K23" s="61">
        <f>(prets!K23*(4/100))</f>
        <v>0</v>
      </c>
      <c r="L23" s="61">
        <f>(prets!L23*(4/100))</f>
        <v>0</v>
      </c>
      <c r="M23" s="61">
        <f>(prets!M23*(4/100))</f>
        <v>0</v>
      </c>
      <c r="N23" s="62">
        <f t="shared" si="0"/>
        <v>0</v>
      </c>
    </row>
    <row r="24" spans="1:14">
      <c r="A24" s="22" t="s">
        <v>189</v>
      </c>
      <c r="B24" s="61">
        <f>(prets!B24*(4/100))</f>
        <v>10000</v>
      </c>
      <c r="C24" s="61">
        <f>(prets!C24*(4/100))</f>
        <v>10000</v>
      </c>
      <c r="D24" s="61">
        <f>(prets!D24*(4/100))</f>
        <v>14000</v>
      </c>
      <c r="E24" s="61">
        <f>(prets!E24*(4/100))</f>
        <v>14000</v>
      </c>
      <c r="F24" s="61">
        <f>(prets!F24*(4/100))</f>
        <v>14000</v>
      </c>
      <c r="G24" s="61">
        <f>(prets!G24*(4/100))</f>
        <v>18000</v>
      </c>
      <c r="H24" s="61">
        <f>(prets!H24*(4/100))</f>
        <v>18000</v>
      </c>
      <c r="I24" s="61">
        <f>(prets!I24*(4/100))</f>
        <v>4120</v>
      </c>
      <c r="J24" s="61">
        <f>(prets!J24*(4/100))</f>
        <v>8000</v>
      </c>
      <c r="K24" s="61">
        <f>(prets!K24*(4/100))</f>
        <v>0</v>
      </c>
      <c r="L24" s="61">
        <f>(prets!L24*(4/100))</f>
        <v>0</v>
      </c>
      <c r="M24" s="61">
        <f>(prets!M24*(4/100))</f>
        <v>0</v>
      </c>
      <c r="N24" s="62">
        <f t="shared" si="0"/>
        <v>110120</v>
      </c>
    </row>
    <row r="25" spans="1:14">
      <c r="A25" s="5" t="s">
        <v>190</v>
      </c>
      <c r="B25" s="61">
        <f>(prets!B25*(4/100))</f>
        <v>0</v>
      </c>
      <c r="C25" s="61">
        <f>(prets!C25*(4/100))</f>
        <v>0</v>
      </c>
      <c r="D25" s="61">
        <f>(prets!D25*(4/100))</f>
        <v>0</v>
      </c>
      <c r="E25" s="61">
        <f>(prets!E25*(4/100))</f>
        <v>0</v>
      </c>
      <c r="F25" s="61">
        <f>(prets!F25*(4/100))</f>
        <v>0</v>
      </c>
      <c r="G25" s="61">
        <f>(prets!G25*(4/100))</f>
        <v>2000</v>
      </c>
      <c r="H25" s="61">
        <f>(prets!H25*(4/100))</f>
        <v>2000</v>
      </c>
      <c r="I25" s="61">
        <f>(prets!I25*(4/100))</f>
        <v>2000</v>
      </c>
      <c r="J25" s="61">
        <f>(prets!J25*(4/100))</f>
        <v>2000</v>
      </c>
      <c r="K25" s="61">
        <f>(prets!K25*(4/100))</f>
        <v>2000</v>
      </c>
      <c r="L25" s="61">
        <f>(prets!L25*(4/100))</f>
        <v>2000</v>
      </c>
      <c r="M25" s="61">
        <f>(prets!M25*(4/100))</f>
        <v>0</v>
      </c>
      <c r="N25" s="62">
        <f t="shared" si="0"/>
        <v>12000</v>
      </c>
    </row>
    <row r="26" spans="1:14">
      <c r="A26" s="22" t="s">
        <v>191</v>
      </c>
      <c r="B26" s="61">
        <f>(prets!B26*(4/100))</f>
        <v>0</v>
      </c>
      <c r="C26" s="61">
        <f>(prets!C26*(4/100))</f>
        <v>0</v>
      </c>
      <c r="D26" s="61">
        <f>(prets!D26*(4/100))</f>
        <v>0</v>
      </c>
      <c r="E26" s="61">
        <f>(prets!E26*(4/100))</f>
        <v>8000</v>
      </c>
      <c r="F26" s="61">
        <f>(prets!F26*(4/100))</f>
        <v>14000</v>
      </c>
      <c r="G26" s="61">
        <f>(prets!G26*(4/100))</f>
        <v>14000</v>
      </c>
      <c r="H26" s="61">
        <f>(prets!H26*(4/100))</f>
        <v>0</v>
      </c>
      <c r="I26" s="61">
        <f>(prets!I26*(4/100))</f>
        <v>0</v>
      </c>
      <c r="J26" s="61">
        <f>(prets!J26*(4/100))</f>
        <v>0</v>
      </c>
      <c r="K26" s="61">
        <f>(prets!K26*(4/100))</f>
        <v>0</v>
      </c>
      <c r="L26" s="61">
        <f>(prets!L26*(4/100))</f>
        <v>0</v>
      </c>
      <c r="M26" s="61">
        <f>(prets!M26*(4/100))</f>
        <v>0</v>
      </c>
      <c r="N26" s="62">
        <f t="shared" si="0"/>
        <v>36000</v>
      </c>
    </row>
    <row r="27" spans="1:14">
      <c r="A27" s="5" t="s">
        <v>192</v>
      </c>
      <c r="B27" s="61">
        <f>(prets!B27*(4/100))</f>
        <v>0</v>
      </c>
      <c r="C27" s="61">
        <f>(prets!C27*(4/100))</f>
        <v>0</v>
      </c>
      <c r="D27" s="61">
        <f>(prets!D27*(4/100))</f>
        <v>8000</v>
      </c>
      <c r="E27" s="61">
        <f>(prets!E27*(4/100))</f>
        <v>8000</v>
      </c>
      <c r="F27" s="61">
        <f>(prets!F27*(4/100))</f>
        <v>8000</v>
      </c>
      <c r="G27" s="61">
        <f>(prets!G27*(4/100))</f>
        <v>8000</v>
      </c>
      <c r="H27" s="61">
        <f>(prets!H27*(4/100))</f>
        <v>8000</v>
      </c>
      <c r="I27" s="61">
        <f>(prets!I27*(4/100))</f>
        <v>8000</v>
      </c>
      <c r="J27" s="61">
        <f>(prets!J27*(4/100))</f>
        <v>8000</v>
      </c>
      <c r="K27" s="61">
        <f>(prets!K27*(4/100))</f>
        <v>22000</v>
      </c>
      <c r="L27" s="61">
        <f>(prets!L27*(4/100))</f>
        <v>34120</v>
      </c>
      <c r="M27" s="61">
        <f>(prets!M27*(4/100))</f>
        <v>0</v>
      </c>
      <c r="N27" s="62">
        <f t="shared" si="0"/>
        <v>112120</v>
      </c>
    </row>
    <row r="28" spans="1:14">
      <c r="A28" s="22" t="s">
        <v>193</v>
      </c>
      <c r="B28" s="61">
        <f>(prets!B28*(4/100))</f>
        <v>8000</v>
      </c>
      <c r="C28" s="61">
        <f>(prets!C28*(4/100))</f>
        <v>8000</v>
      </c>
      <c r="D28" s="61">
        <f>(prets!D28*(4/100))</f>
        <v>20000</v>
      </c>
      <c r="E28" s="61">
        <f>(prets!E28*(4/100))</f>
        <v>20000</v>
      </c>
      <c r="F28" s="61">
        <f>(prets!F28*(4/100))</f>
        <v>24000</v>
      </c>
      <c r="G28" s="61">
        <f>(prets!G28*(4/100))</f>
        <v>24000</v>
      </c>
      <c r="H28" s="61">
        <f>(prets!H28*(4/100))</f>
        <v>24000</v>
      </c>
      <c r="I28" s="61">
        <f>(prets!I28*(4/100))</f>
        <v>24000</v>
      </c>
      <c r="J28" s="61">
        <f>(prets!J28*(4/100))</f>
        <v>0</v>
      </c>
      <c r="K28" s="61">
        <f>(prets!K28*(4/100))</f>
        <v>0</v>
      </c>
      <c r="L28" s="61">
        <f>(prets!L28*(4/100))</f>
        <v>0</v>
      </c>
      <c r="M28" s="61">
        <f>(prets!M28*(4/100))</f>
        <v>0</v>
      </c>
      <c r="N28" s="62">
        <f t="shared" si="0"/>
        <v>152000</v>
      </c>
    </row>
    <row r="29" spans="1:14">
      <c r="A29" s="5" t="s">
        <v>194</v>
      </c>
      <c r="B29" s="61">
        <f>(prets!B29*(4/100))</f>
        <v>0</v>
      </c>
      <c r="C29" s="61">
        <f>(prets!C29*(4/100))</f>
        <v>0</v>
      </c>
      <c r="D29" s="61">
        <f>(prets!D29*(4/100))</f>
        <v>0</v>
      </c>
      <c r="E29" s="61">
        <f>(prets!E29*(4/100))</f>
        <v>0</v>
      </c>
      <c r="F29" s="61">
        <f>(prets!F29*(4/100))</f>
        <v>0</v>
      </c>
      <c r="G29" s="61">
        <f>(prets!G29*(4/100))</f>
        <v>0</v>
      </c>
      <c r="H29" s="61">
        <f>(prets!H29*(4/100))</f>
        <v>0</v>
      </c>
      <c r="I29" s="61">
        <f>(prets!I29*(4/100))</f>
        <v>0</v>
      </c>
      <c r="J29" s="61">
        <f>(prets!J29*(4/100))</f>
        <v>0</v>
      </c>
      <c r="K29" s="61">
        <f>(prets!K29*(4/100))</f>
        <v>0</v>
      </c>
      <c r="L29" s="61">
        <f>(prets!L29*(4/100))</f>
        <v>0</v>
      </c>
      <c r="M29" s="61">
        <f>(prets!M29*(4/100))</f>
        <v>0</v>
      </c>
      <c r="N29" s="62">
        <f t="shared" si="0"/>
        <v>0</v>
      </c>
    </row>
    <row r="30" spans="1:14">
      <c r="A30" s="22" t="s">
        <v>195</v>
      </c>
      <c r="B30" s="61">
        <f>(prets!B30*(4/100))</f>
        <v>0</v>
      </c>
      <c r="C30" s="61">
        <f>(prets!C30*(4/100))</f>
        <v>0</v>
      </c>
      <c r="D30" s="61">
        <f>(prets!D30*(4/100))</f>
        <v>0</v>
      </c>
      <c r="E30" s="61">
        <f>(prets!E30*(4/100))</f>
        <v>0</v>
      </c>
      <c r="F30" s="61">
        <f>(prets!F30*(4/100))</f>
        <v>2000</v>
      </c>
      <c r="G30" s="61">
        <f>(prets!G30*(4/100))</f>
        <v>2000</v>
      </c>
      <c r="H30" s="61">
        <f>(prets!H30*(4/100))</f>
        <v>2000</v>
      </c>
      <c r="I30" s="61">
        <f>(prets!I30*(4/100))</f>
        <v>2000</v>
      </c>
      <c r="J30" s="61">
        <f>(prets!J30*(4/100))</f>
        <v>6000</v>
      </c>
      <c r="K30" s="61">
        <f>(prets!K30*(4/100))</f>
        <v>6000</v>
      </c>
      <c r="L30" s="61">
        <f>(prets!L30*(4/100))</f>
        <v>6000</v>
      </c>
      <c r="M30" s="61">
        <f>(prets!M30*(4/100))</f>
        <v>0</v>
      </c>
      <c r="N30" s="62">
        <f t="shared" si="0"/>
        <v>26000</v>
      </c>
    </row>
    <row r="31" spans="1:14">
      <c r="A31" s="5" t="s">
        <v>196</v>
      </c>
      <c r="B31" s="61">
        <f>(prets!B31*(4/100))</f>
        <v>0</v>
      </c>
      <c r="C31" s="61">
        <f>(prets!C31*(4/100))</f>
        <v>0</v>
      </c>
      <c r="D31" s="61">
        <f>(prets!D31*(4/100))</f>
        <v>0</v>
      </c>
      <c r="E31" s="61">
        <f>(prets!E31*(4/100))</f>
        <v>0</v>
      </c>
      <c r="F31" s="61">
        <f>(prets!F31*(4/100))</f>
        <v>0</v>
      </c>
      <c r="G31" s="61">
        <f>(prets!G31*(4/100))</f>
        <v>0</v>
      </c>
      <c r="H31" s="61">
        <f>(prets!H31*(4/100))</f>
        <v>0</v>
      </c>
      <c r="I31" s="61">
        <f>(prets!I31*(4/100))</f>
        <v>0</v>
      </c>
      <c r="J31" s="61">
        <f>(prets!J31*(4/100))</f>
        <v>0</v>
      </c>
      <c r="K31" s="61">
        <f>(prets!K31*(4/100))</f>
        <v>0</v>
      </c>
      <c r="L31" s="61">
        <f>(prets!L31*(4/100))</f>
        <v>0</v>
      </c>
      <c r="M31" s="61">
        <f>(prets!M31*(4/100))</f>
        <v>0</v>
      </c>
      <c r="N31" s="62">
        <f t="shared" si="0"/>
        <v>0</v>
      </c>
    </row>
    <row r="32" spans="1:14">
      <c r="A32" s="22" t="s">
        <v>86</v>
      </c>
      <c r="B32" s="61">
        <f>(prets!B32*(4/100))</f>
        <v>0</v>
      </c>
      <c r="C32" s="61">
        <f>(prets!C32*(4/100))</f>
        <v>0</v>
      </c>
      <c r="D32" s="61">
        <f>(prets!D32*(4/100))</f>
        <v>8000</v>
      </c>
      <c r="E32" s="61">
        <f>(prets!E32*(4/100))</f>
        <v>16000</v>
      </c>
      <c r="F32" s="61">
        <f>(prets!F32*(4/100))</f>
        <v>16000</v>
      </c>
      <c r="G32" s="61">
        <f>(prets!G32*(4/100))</f>
        <v>30000</v>
      </c>
      <c r="H32" s="61">
        <f>(prets!H32*(4/100))</f>
        <v>26000</v>
      </c>
      <c r="I32" s="61">
        <f>(prets!I32*(4/100))</f>
        <v>26000</v>
      </c>
      <c r="J32" s="61">
        <f>(prets!J32*(4/100))</f>
        <v>26000</v>
      </c>
      <c r="K32" s="61">
        <f>(prets!K32*(4/100))</f>
        <v>26000</v>
      </c>
      <c r="L32" s="61">
        <f>(prets!L32*(4/100))</f>
        <v>26000</v>
      </c>
      <c r="M32" s="61">
        <f>(prets!M32*(4/100))</f>
        <v>0</v>
      </c>
      <c r="N32" s="62">
        <f t="shared" si="0"/>
        <v>200000</v>
      </c>
    </row>
    <row r="33" spans="1:14">
      <c r="A33" s="5" t="s">
        <v>197</v>
      </c>
      <c r="B33" s="61">
        <f>(prets!B33*(4/100))</f>
        <v>4000</v>
      </c>
      <c r="C33" s="61">
        <f>(prets!C33*(4/100))</f>
        <v>4000</v>
      </c>
      <c r="D33" s="61">
        <f>(prets!D33*(4/100))</f>
        <v>4000</v>
      </c>
      <c r="E33" s="61">
        <f>(prets!E33*(4/100))</f>
        <v>4000</v>
      </c>
      <c r="F33" s="61">
        <f>(prets!F33*(4/100))</f>
        <v>20000</v>
      </c>
      <c r="G33" s="61">
        <f>(prets!G33*(4/100))</f>
        <v>20000</v>
      </c>
      <c r="H33" s="61">
        <f>(prets!H33*(4/100))</f>
        <v>32000</v>
      </c>
      <c r="I33" s="61">
        <f>(prets!I33*(4/100))</f>
        <v>28000</v>
      </c>
      <c r="J33" s="61">
        <f>(prets!J33*(4/100))</f>
        <v>44000</v>
      </c>
      <c r="K33" s="61">
        <f>(prets!K33*(4/100))</f>
        <v>44000</v>
      </c>
      <c r="L33" s="61">
        <f>(prets!L33*(4/100))</f>
        <v>44000</v>
      </c>
      <c r="M33" s="61">
        <f>(prets!M33*(4/100))</f>
        <v>0</v>
      </c>
      <c r="N33" s="62">
        <f t="shared" si="0"/>
        <v>248000</v>
      </c>
    </row>
    <row r="34" spans="1:14">
      <c r="A34" s="23" t="s">
        <v>55</v>
      </c>
      <c r="B34" s="63">
        <v>38000</v>
      </c>
      <c r="C34" s="63">
        <v>57680</v>
      </c>
      <c r="D34" s="63">
        <v>164480</v>
      </c>
      <c r="E34" s="62">
        <v>134880</v>
      </c>
      <c r="F34" s="62">
        <v>125880</v>
      </c>
      <c r="G34" s="62">
        <v>154720</v>
      </c>
      <c r="H34" s="62">
        <v>172600</v>
      </c>
      <c r="I34" s="62">
        <v>177720</v>
      </c>
      <c r="J34" s="63">
        <v>296000</v>
      </c>
      <c r="K34" s="63">
        <v>296000</v>
      </c>
      <c r="L34" s="63">
        <v>318120</v>
      </c>
      <c r="M34" s="63">
        <v>0</v>
      </c>
      <c r="N34" s="63">
        <f>SUM(B34:M34)</f>
        <v>1936080</v>
      </c>
    </row>
    <row r="36" spans="1:14">
      <c r="B36" s="63">
        <f t="shared" ref="B36:K36" si="1">+SUM(B2:B33)</f>
        <v>38000</v>
      </c>
      <c r="C36" s="63">
        <f t="shared" si="1"/>
        <v>57680</v>
      </c>
      <c r="D36" s="63">
        <f t="shared" si="1"/>
        <v>164480</v>
      </c>
      <c r="E36" s="63">
        <f t="shared" si="1"/>
        <v>184880</v>
      </c>
      <c r="F36" s="63">
        <f t="shared" si="1"/>
        <v>225880</v>
      </c>
      <c r="G36" s="63">
        <f t="shared" si="1"/>
        <v>254720</v>
      </c>
      <c r="H36" s="63">
        <f t="shared" si="1"/>
        <v>272600</v>
      </c>
      <c r="I36" s="63">
        <f t="shared" si="1"/>
        <v>277720</v>
      </c>
      <c r="J36" s="63">
        <f t="shared" si="1"/>
        <v>296000</v>
      </c>
      <c r="K36" s="63">
        <f t="shared" si="1"/>
        <v>296000</v>
      </c>
      <c r="L36" s="63">
        <f>+SUM(L2:L33)</f>
        <v>318120</v>
      </c>
      <c r="M36" s="63">
        <f t="shared" ref="C36:N36" si="2">+SUM(M4:M33)</f>
        <v>0</v>
      </c>
      <c r="N36" s="63">
        <f>+SUM(N2:N33)</f>
        <v>2386080</v>
      </c>
    </row>
    <row r="37" spans="1:14">
      <c r="N37" s="63"/>
    </row>
    <row r="38" spans="1:14">
      <c r="E38">
        <v>50000</v>
      </c>
      <c r="F38">
        <v>100000</v>
      </c>
      <c r="G38">
        <v>100000</v>
      </c>
      <c r="H38">
        <v>100000</v>
      </c>
      <c r="I38">
        <v>100000</v>
      </c>
    </row>
    <row r="39" spans="1:14">
      <c r="N39" s="48">
        <f>N36-N34</f>
        <v>450000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2365-0FDA-48F1-A3DF-3B33739C500C}">
  <dimension ref="A1:V39"/>
  <sheetViews>
    <sheetView zoomScaleNormal="10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Q8" sqref="Q8"/>
    </sheetView>
  </sheetViews>
  <sheetFormatPr baseColWidth="10" defaultRowHeight="15"/>
  <cols>
    <col min="1" max="1" width="24.140625" customWidth="1"/>
    <col min="2" max="3" width="11.5703125" customWidth="1"/>
    <col min="4" max="4" width="12.7109375" customWidth="1"/>
    <col min="5" max="6" width="13.42578125" customWidth="1"/>
    <col min="7" max="7" width="12.28515625" customWidth="1"/>
    <col min="8" max="8" width="11.5703125" bestFit="1" customWidth="1"/>
    <col min="9" max="10" width="12.140625" bestFit="1" customWidth="1"/>
    <col min="11" max="13" width="11.5703125" bestFit="1" customWidth="1"/>
    <col min="14" max="14" width="12.85546875" bestFit="1" customWidth="1"/>
    <col min="15" max="17" width="15.140625" customWidth="1"/>
  </cols>
  <sheetData>
    <row r="1" spans="1:22">
      <c r="A1" t="s">
        <v>80</v>
      </c>
      <c r="B1" s="38" t="s">
        <v>65</v>
      </c>
      <c r="C1" s="38" t="s">
        <v>66</v>
      </c>
      <c r="D1" s="38" t="s">
        <v>67</v>
      </c>
      <c r="E1" s="38" t="s">
        <v>81</v>
      </c>
      <c r="F1" s="38" t="s">
        <v>82</v>
      </c>
      <c r="G1" s="38" t="s">
        <v>58</v>
      </c>
      <c r="H1" s="38" t="s">
        <v>59</v>
      </c>
      <c r="I1" s="38" t="s">
        <v>60</v>
      </c>
      <c r="J1" s="38" t="s">
        <v>61</v>
      </c>
      <c r="K1" s="38" t="s">
        <v>62</v>
      </c>
      <c r="L1" s="38" t="s">
        <v>63</v>
      </c>
      <c r="M1" s="38" t="s">
        <v>64</v>
      </c>
      <c r="N1" s="38" t="s">
        <v>55</v>
      </c>
      <c r="O1" s="38" t="s">
        <v>205</v>
      </c>
      <c r="P1" s="38"/>
      <c r="Q1" s="38"/>
      <c r="S1" s="38" t="s">
        <v>201</v>
      </c>
      <c r="T1" s="38" t="s">
        <v>213</v>
      </c>
      <c r="U1" s="38" t="s">
        <v>214</v>
      </c>
      <c r="V1" s="38" t="s">
        <v>215</v>
      </c>
    </row>
    <row r="2" spans="1:22">
      <c r="A2" s="22" t="s">
        <v>167</v>
      </c>
      <c r="B2" s="39">
        <v>0</v>
      </c>
      <c r="C2" s="40">
        <v>0</v>
      </c>
      <c r="D2" s="40">
        <v>0</v>
      </c>
      <c r="E2" s="39">
        <v>400000</v>
      </c>
      <c r="F2" s="39">
        <v>0</v>
      </c>
      <c r="G2" s="40">
        <v>0</v>
      </c>
      <c r="H2" s="40">
        <v>0</v>
      </c>
      <c r="I2" s="40">
        <v>0</v>
      </c>
      <c r="J2" s="40">
        <v>0</v>
      </c>
      <c r="K2" s="40">
        <v>0</v>
      </c>
      <c r="L2" s="40">
        <v>50000</v>
      </c>
      <c r="M2" s="39">
        <v>0</v>
      </c>
      <c r="N2" s="41">
        <f>+SUM(B2:M2)</f>
        <v>450000</v>
      </c>
      <c r="O2" s="48">
        <v>259000</v>
      </c>
      <c r="P2" s="48"/>
      <c r="Q2" s="48"/>
    </row>
    <row r="3" spans="1:22">
      <c r="A3" s="5" t="s">
        <v>168</v>
      </c>
      <c r="B3" s="39">
        <v>0</v>
      </c>
      <c r="C3" s="40">
        <v>0</v>
      </c>
      <c r="D3" s="40">
        <v>0</v>
      </c>
      <c r="E3" s="39">
        <v>0</v>
      </c>
      <c r="F3" s="39">
        <v>0</v>
      </c>
      <c r="G3" s="40">
        <v>0</v>
      </c>
      <c r="H3" s="40">
        <v>300000</v>
      </c>
      <c r="I3" s="40">
        <v>0</v>
      </c>
      <c r="J3" s="40">
        <v>0</v>
      </c>
      <c r="K3" s="40">
        <v>0</v>
      </c>
      <c r="L3" s="40">
        <v>0</v>
      </c>
      <c r="M3" s="39">
        <v>0</v>
      </c>
      <c r="N3" s="41">
        <f t="shared" ref="N3:N22" si="0">+SUM(B3:M3)</f>
        <v>300000</v>
      </c>
      <c r="O3" s="48">
        <v>0</v>
      </c>
      <c r="P3" s="48"/>
      <c r="Q3" s="48"/>
    </row>
    <row r="4" spans="1:22">
      <c r="A4" s="22" t="s">
        <v>169</v>
      </c>
      <c r="B4" s="39">
        <v>0</v>
      </c>
      <c r="C4" s="40">
        <v>0</v>
      </c>
      <c r="D4" s="40">
        <v>0</v>
      </c>
      <c r="E4" s="39">
        <v>0</v>
      </c>
      <c r="F4" s="39">
        <v>0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39">
        <v>0</v>
      </c>
      <c r="N4" s="41">
        <f t="shared" si="0"/>
        <v>0</v>
      </c>
      <c r="O4" s="48">
        <v>0</v>
      </c>
      <c r="P4" s="48"/>
      <c r="Q4" s="48"/>
    </row>
    <row r="5" spans="1:22">
      <c r="A5" s="5" t="s">
        <v>170</v>
      </c>
      <c r="B5" s="39">
        <v>0</v>
      </c>
      <c r="C5" s="40">
        <v>0</v>
      </c>
      <c r="D5" s="40">
        <v>0</v>
      </c>
      <c r="E5" s="39">
        <v>150000</v>
      </c>
      <c r="F5" s="39">
        <v>0</v>
      </c>
      <c r="G5" s="40">
        <v>0</v>
      </c>
      <c r="H5" s="40">
        <v>0</v>
      </c>
      <c r="I5" s="40">
        <v>150000</v>
      </c>
      <c r="J5" s="40">
        <v>0</v>
      </c>
      <c r="K5" s="40">
        <v>0</v>
      </c>
      <c r="L5" s="40">
        <v>0</v>
      </c>
      <c r="M5" s="39">
        <v>0</v>
      </c>
      <c r="N5" s="41">
        <f t="shared" si="0"/>
        <v>300000</v>
      </c>
      <c r="O5" s="48">
        <v>360000</v>
      </c>
      <c r="P5" s="48"/>
      <c r="Q5" s="48"/>
    </row>
    <row r="6" spans="1:22">
      <c r="A6" s="22" t="s">
        <v>171</v>
      </c>
      <c r="B6" s="39">
        <v>0</v>
      </c>
      <c r="C6" s="40">
        <v>0</v>
      </c>
      <c r="D6" s="40">
        <v>100000</v>
      </c>
      <c r="E6" s="39">
        <v>0</v>
      </c>
      <c r="F6" s="39">
        <v>0</v>
      </c>
      <c r="G6" s="40">
        <v>0</v>
      </c>
      <c r="H6" s="40">
        <v>0</v>
      </c>
      <c r="I6" s="40">
        <v>0</v>
      </c>
      <c r="J6" s="40">
        <v>0</v>
      </c>
      <c r="K6" s="40"/>
      <c r="L6" s="40">
        <v>200000</v>
      </c>
      <c r="M6" s="39">
        <v>0</v>
      </c>
      <c r="N6" s="41">
        <f t="shared" si="0"/>
        <v>300000</v>
      </c>
      <c r="O6" s="59">
        <v>75000</v>
      </c>
      <c r="P6" s="59"/>
      <c r="Q6" s="59"/>
    </row>
    <row r="7" spans="1:22">
      <c r="A7" s="5" t="s">
        <v>172</v>
      </c>
      <c r="B7" s="51">
        <v>200000</v>
      </c>
      <c r="C7" s="40">
        <v>0</v>
      </c>
      <c r="D7" s="40">
        <v>50000</v>
      </c>
      <c r="E7" s="39">
        <v>0</v>
      </c>
      <c r="F7" s="39">
        <v>0</v>
      </c>
      <c r="G7" s="40">
        <v>200000</v>
      </c>
      <c r="H7" s="40">
        <v>0</v>
      </c>
      <c r="I7" s="40">
        <v>0</v>
      </c>
      <c r="J7" s="40">
        <v>0</v>
      </c>
      <c r="K7" s="40">
        <v>0</v>
      </c>
      <c r="L7" s="40">
        <v>50000</v>
      </c>
      <c r="M7" s="39">
        <v>0</v>
      </c>
      <c r="N7" s="41">
        <f t="shared" si="0"/>
        <v>500000</v>
      </c>
      <c r="O7" s="48">
        <v>0</v>
      </c>
      <c r="P7" s="48"/>
      <c r="Q7" s="48"/>
    </row>
    <row r="8" spans="1:22">
      <c r="A8" s="22" t="s">
        <v>173</v>
      </c>
      <c r="B8" s="39">
        <v>0</v>
      </c>
      <c r="C8" s="40">
        <v>0</v>
      </c>
      <c r="D8" s="40">
        <v>300000</v>
      </c>
      <c r="E8" s="39">
        <v>0</v>
      </c>
      <c r="F8" s="39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39">
        <v>0</v>
      </c>
      <c r="N8" s="41">
        <f t="shared" si="0"/>
        <v>300000</v>
      </c>
      <c r="O8" s="48">
        <v>0</v>
      </c>
      <c r="P8" s="48"/>
      <c r="Q8" s="48"/>
    </row>
    <row r="9" spans="1:22">
      <c r="A9" s="5" t="s">
        <v>174</v>
      </c>
      <c r="B9" s="39">
        <v>0</v>
      </c>
      <c r="C9" s="40">
        <v>200000</v>
      </c>
      <c r="D9" s="40">
        <v>0</v>
      </c>
      <c r="E9" s="39">
        <v>0</v>
      </c>
      <c r="F9" s="39">
        <v>150000</v>
      </c>
      <c r="G9" s="40">
        <v>100000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39">
        <v>0</v>
      </c>
      <c r="N9" s="41">
        <f t="shared" si="0"/>
        <v>450000</v>
      </c>
      <c r="O9" s="48">
        <v>150000</v>
      </c>
      <c r="P9" s="48"/>
      <c r="Q9" s="48"/>
    </row>
    <row r="10" spans="1:22">
      <c r="A10" s="22" t="s">
        <v>175</v>
      </c>
      <c r="B10" s="39">
        <v>0</v>
      </c>
      <c r="C10" s="40">
        <v>0</v>
      </c>
      <c r="D10" s="40">
        <v>0</v>
      </c>
      <c r="E10" s="39">
        <v>0</v>
      </c>
      <c r="F10" s="39">
        <v>0</v>
      </c>
      <c r="G10" s="40">
        <v>0</v>
      </c>
      <c r="H10" s="40">
        <v>150000</v>
      </c>
      <c r="I10" s="40">
        <v>500000</v>
      </c>
      <c r="J10" s="40">
        <v>800000</v>
      </c>
      <c r="K10" s="40">
        <v>0</v>
      </c>
      <c r="L10" s="40">
        <v>0</v>
      </c>
      <c r="M10" s="39">
        <v>0</v>
      </c>
      <c r="N10" s="41">
        <f t="shared" si="0"/>
        <v>1450000</v>
      </c>
      <c r="O10" s="48">
        <v>0</v>
      </c>
      <c r="P10" s="48"/>
      <c r="Q10" s="48"/>
    </row>
    <row r="11" spans="1:22">
      <c r="A11" s="5" t="s">
        <v>176</v>
      </c>
      <c r="B11" s="39">
        <v>0</v>
      </c>
      <c r="C11" s="40">
        <v>254000</v>
      </c>
      <c r="D11" s="39">
        <v>0</v>
      </c>
      <c r="E11" s="39">
        <v>200000</v>
      </c>
      <c r="F11" s="39">
        <v>200000</v>
      </c>
      <c r="G11" s="40">
        <v>303000</v>
      </c>
      <c r="H11" s="40"/>
      <c r="I11" s="40"/>
      <c r="J11" s="40"/>
      <c r="K11" s="40"/>
      <c r="L11" s="40">
        <v>400000</v>
      </c>
      <c r="M11" s="39"/>
      <c r="N11" s="41">
        <f t="shared" si="0"/>
        <v>1357000</v>
      </c>
      <c r="O11" s="59">
        <v>1000000</v>
      </c>
      <c r="P11" s="59"/>
      <c r="Q11" s="59"/>
    </row>
    <row r="12" spans="1:22">
      <c r="A12" s="22" t="s">
        <v>177</v>
      </c>
      <c r="B12" s="39">
        <v>0</v>
      </c>
      <c r="C12" s="40">
        <v>0</v>
      </c>
      <c r="D12" s="39">
        <v>0</v>
      </c>
      <c r="E12" s="39">
        <v>0</v>
      </c>
      <c r="F12" s="39">
        <v>0</v>
      </c>
      <c r="G12" s="39">
        <v>0</v>
      </c>
      <c r="H12" s="40"/>
      <c r="I12" s="40"/>
      <c r="J12" s="40"/>
      <c r="K12" s="40">
        <v>200000</v>
      </c>
      <c r="L12" s="40"/>
      <c r="M12" s="39"/>
      <c r="N12" s="41">
        <f t="shared" si="0"/>
        <v>200000</v>
      </c>
      <c r="O12" s="48">
        <v>18500</v>
      </c>
      <c r="P12" s="48"/>
      <c r="Q12" s="48"/>
    </row>
    <row r="13" spans="1:22">
      <c r="A13" s="5" t="s">
        <v>178</v>
      </c>
      <c r="B13" s="51">
        <v>100000</v>
      </c>
      <c r="C13" s="40">
        <v>0</v>
      </c>
      <c r="D13" s="40">
        <v>200000</v>
      </c>
      <c r="E13" s="39">
        <v>0</v>
      </c>
      <c r="F13" s="39">
        <v>0</v>
      </c>
      <c r="G13" s="39">
        <v>0</v>
      </c>
      <c r="H13" s="40">
        <v>150000</v>
      </c>
      <c r="I13" s="40"/>
      <c r="J13" s="40">
        <v>200000</v>
      </c>
      <c r="K13" s="40"/>
      <c r="L13" s="40"/>
      <c r="M13" s="39"/>
      <c r="N13" s="41">
        <f t="shared" si="0"/>
        <v>650000</v>
      </c>
      <c r="O13" s="59">
        <v>510000</v>
      </c>
      <c r="P13" s="59"/>
      <c r="Q13" s="59"/>
    </row>
    <row r="14" spans="1:22">
      <c r="A14" s="22" t="s">
        <v>179</v>
      </c>
      <c r="B14" s="39">
        <v>0</v>
      </c>
      <c r="C14" s="40">
        <v>0</v>
      </c>
      <c r="D14" s="39">
        <v>0</v>
      </c>
      <c r="E14" s="39">
        <v>0</v>
      </c>
      <c r="F14" s="39">
        <v>0</v>
      </c>
      <c r="G14" s="39">
        <v>0</v>
      </c>
      <c r="H14" s="40"/>
      <c r="I14" s="40"/>
      <c r="J14" s="40"/>
      <c r="K14" s="40"/>
      <c r="L14" s="39">
        <v>0</v>
      </c>
      <c r="M14" s="39"/>
      <c r="N14" s="41">
        <f t="shared" si="0"/>
        <v>0</v>
      </c>
      <c r="O14" s="48">
        <v>0</v>
      </c>
      <c r="P14" s="48"/>
      <c r="Q14" s="48"/>
    </row>
    <row r="15" spans="1:22">
      <c r="A15" s="5" t="s">
        <v>180</v>
      </c>
      <c r="B15" s="39">
        <v>0</v>
      </c>
      <c r="C15" s="40">
        <v>38000</v>
      </c>
      <c r="D15" s="40">
        <v>100000</v>
      </c>
      <c r="E15" s="39">
        <v>200000</v>
      </c>
      <c r="F15" s="39">
        <v>0</v>
      </c>
      <c r="G15" s="39">
        <v>0</v>
      </c>
      <c r="H15" s="40"/>
      <c r="I15" s="40"/>
      <c r="J15" s="40"/>
      <c r="K15" s="40"/>
      <c r="L15" s="39">
        <v>0</v>
      </c>
      <c r="M15" s="39"/>
      <c r="N15" s="41">
        <f t="shared" si="0"/>
        <v>338000</v>
      </c>
      <c r="O15" s="59">
        <v>650000</v>
      </c>
      <c r="P15" s="59"/>
      <c r="Q15" s="59"/>
    </row>
    <row r="16" spans="1:22">
      <c r="A16" s="22" t="s">
        <v>181</v>
      </c>
      <c r="B16" s="39">
        <v>0</v>
      </c>
      <c r="C16" s="40">
        <v>0</v>
      </c>
      <c r="D16" s="39">
        <v>0</v>
      </c>
      <c r="E16" s="39">
        <v>0</v>
      </c>
      <c r="F16" s="39">
        <v>0</v>
      </c>
      <c r="G16" s="39">
        <v>0</v>
      </c>
      <c r="H16" s="40"/>
      <c r="I16" s="40"/>
      <c r="J16" s="40"/>
      <c r="K16" s="40"/>
      <c r="L16" s="39">
        <v>0</v>
      </c>
      <c r="M16" s="39"/>
      <c r="N16" s="41">
        <f t="shared" si="0"/>
        <v>0</v>
      </c>
      <c r="O16" s="48">
        <v>19000</v>
      </c>
      <c r="P16" s="48"/>
      <c r="Q16" s="48"/>
    </row>
    <row r="17" spans="1:17">
      <c r="A17" s="5" t="s">
        <v>182</v>
      </c>
      <c r="B17" s="39">
        <v>0</v>
      </c>
      <c r="C17" s="40">
        <v>0</v>
      </c>
      <c r="D17" s="39">
        <v>0</v>
      </c>
      <c r="E17" s="39">
        <v>0</v>
      </c>
      <c r="F17" s="39">
        <v>0</v>
      </c>
      <c r="G17" s="39">
        <v>0</v>
      </c>
      <c r="H17" s="40"/>
      <c r="I17" s="40"/>
      <c r="J17" s="40"/>
      <c r="K17" s="40"/>
      <c r="L17" s="39">
        <v>0</v>
      </c>
      <c r="M17" s="39"/>
      <c r="N17" s="41">
        <f t="shared" si="0"/>
        <v>0</v>
      </c>
      <c r="O17" s="48">
        <v>0</v>
      </c>
      <c r="P17" s="48"/>
      <c r="Q17" s="48"/>
    </row>
    <row r="18" spans="1:17">
      <c r="A18" s="22" t="s">
        <v>183</v>
      </c>
      <c r="B18" s="39">
        <v>0</v>
      </c>
      <c r="C18" s="40">
        <v>0</v>
      </c>
      <c r="D18" s="40">
        <v>200000</v>
      </c>
      <c r="E18" s="39">
        <v>0</v>
      </c>
      <c r="F18" s="39">
        <v>0</v>
      </c>
      <c r="G18" s="39">
        <v>0</v>
      </c>
      <c r="H18" s="40"/>
      <c r="I18" s="40">
        <v>150000</v>
      </c>
      <c r="J18" s="40"/>
      <c r="K18" s="40"/>
      <c r="L18" s="39">
        <v>0</v>
      </c>
      <c r="M18" s="39"/>
      <c r="N18" s="41">
        <f t="shared" si="0"/>
        <v>350000</v>
      </c>
      <c r="O18" s="48">
        <v>200000</v>
      </c>
      <c r="P18" s="48"/>
      <c r="Q18" s="48"/>
    </row>
    <row r="19" spans="1:17">
      <c r="A19" s="5" t="s">
        <v>184</v>
      </c>
      <c r="B19" s="51">
        <v>100000</v>
      </c>
      <c r="C19" s="40"/>
      <c r="D19" s="39">
        <v>0</v>
      </c>
      <c r="E19" s="39">
        <v>30000</v>
      </c>
      <c r="F19" s="39">
        <v>0</v>
      </c>
      <c r="G19" s="39">
        <v>0</v>
      </c>
      <c r="H19" s="40"/>
      <c r="I19" s="40"/>
      <c r="J19" s="40"/>
      <c r="K19" s="40"/>
      <c r="L19" s="39">
        <v>0</v>
      </c>
      <c r="M19" s="39"/>
      <c r="N19" s="41">
        <f t="shared" si="0"/>
        <v>130000</v>
      </c>
      <c r="O19" s="48">
        <v>0</v>
      </c>
      <c r="P19" s="48"/>
      <c r="Q19" s="48"/>
    </row>
    <row r="20" spans="1:17">
      <c r="A20" s="22" t="s">
        <v>185</v>
      </c>
      <c r="B20" s="39">
        <v>0</v>
      </c>
      <c r="C20" s="40">
        <v>0</v>
      </c>
      <c r="D20" s="39">
        <v>0</v>
      </c>
      <c r="E20" s="39">
        <v>100000</v>
      </c>
      <c r="F20" s="39">
        <v>0</v>
      </c>
      <c r="G20" s="39">
        <v>0</v>
      </c>
      <c r="H20" s="40"/>
      <c r="I20" s="40"/>
      <c r="J20" s="40"/>
      <c r="K20" s="40"/>
      <c r="L20" s="39">
        <v>0</v>
      </c>
      <c r="M20" s="39"/>
      <c r="N20" s="41">
        <f t="shared" si="0"/>
        <v>100000</v>
      </c>
      <c r="O20" s="59">
        <v>102600</v>
      </c>
      <c r="P20" s="59"/>
      <c r="Q20" s="59"/>
    </row>
    <row r="21" spans="1:17">
      <c r="A21" s="5" t="s">
        <v>186</v>
      </c>
      <c r="B21" s="39">
        <v>0</v>
      </c>
      <c r="C21" s="40">
        <v>0</v>
      </c>
      <c r="D21" s="40">
        <v>920000</v>
      </c>
      <c r="E21" s="39">
        <v>0</v>
      </c>
      <c r="F21" s="39">
        <v>0</v>
      </c>
      <c r="G21" s="39">
        <v>0</v>
      </c>
      <c r="H21" s="40">
        <v>50000</v>
      </c>
      <c r="I21" s="40">
        <v>100000</v>
      </c>
      <c r="J21" s="40"/>
      <c r="K21" s="40"/>
      <c r="L21" s="39">
        <v>0</v>
      </c>
      <c r="M21" s="39"/>
      <c r="N21" s="41">
        <f t="shared" si="0"/>
        <v>1070000</v>
      </c>
      <c r="O21" s="48">
        <v>0</v>
      </c>
      <c r="P21" s="48"/>
      <c r="Q21" s="48"/>
    </row>
    <row r="22" spans="1:17">
      <c r="A22" s="22" t="s">
        <v>187</v>
      </c>
      <c r="B22" s="39">
        <v>0</v>
      </c>
      <c r="C22" s="40">
        <v>0</v>
      </c>
      <c r="D22" s="39">
        <v>0</v>
      </c>
      <c r="E22" s="39">
        <v>0</v>
      </c>
      <c r="F22" s="39">
        <v>0</v>
      </c>
      <c r="G22" s="39">
        <v>0</v>
      </c>
      <c r="H22" s="40"/>
      <c r="I22" s="40"/>
      <c r="J22" s="40"/>
      <c r="K22" s="40"/>
      <c r="L22" s="39">
        <v>0</v>
      </c>
      <c r="M22" s="39"/>
      <c r="N22" s="41">
        <f t="shared" si="0"/>
        <v>0</v>
      </c>
      <c r="O22" s="48">
        <v>0</v>
      </c>
      <c r="P22" s="48"/>
      <c r="Q22" s="48"/>
    </row>
    <row r="23" spans="1:17">
      <c r="A23" s="5" t="s">
        <v>188</v>
      </c>
      <c r="B23" s="39">
        <v>0</v>
      </c>
      <c r="C23" s="40">
        <v>0</v>
      </c>
      <c r="D23" s="39">
        <v>0</v>
      </c>
      <c r="E23" s="39">
        <v>0</v>
      </c>
      <c r="F23" s="39">
        <v>0</v>
      </c>
      <c r="G23" s="39">
        <v>0</v>
      </c>
      <c r="H23" s="40"/>
      <c r="I23" s="40"/>
      <c r="J23" s="40"/>
      <c r="K23" s="40"/>
      <c r="L23" s="39">
        <v>0</v>
      </c>
      <c r="M23" s="39"/>
      <c r="N23" s="41">
        <f t="shared" ref="N23:N33" si="1">+SUM(B23:M23)</f>
        <v>0</v>
      </c>
      <c r="O23" s="48">
        <v>0</v>
      </c>
      <c r="P23" s="48"/>
      <c r="Q23" s="48"/>
    </row>
    <row r="24" spans="1:17">
      <c r="A24" s="22" t="s">
        <v>189</v>
      </c>
      <c r="B24" s="51">
        <v>250000</v>
      </c>
      <c r="C24" s="40">
        <v>0</v>
      </c>
      <c r="D24" s="40">
        <v>100000</v>
      </c>
      <c r="E24" s="39">
        <v>0</v>
      </c>
      <c r="F24" s="39">
        <v>0</v>
      </c>
      <c r="G24" s="40">
        <v>100000</v>
      </c>
      <c r="H24" s="40"/>
      <c r="I24" s="40">
        <v>103000</v>
      </c>
      <c r="J24" s="40">
        <v>200000</v>
      </c>
      <c r="K24" s="40"/>
      <c r="L24" s="39">
        <v>0</v>
      </c>
      <c r="M24" s="39"/>
      <c r="N24" s="41">
        <f t="shared" si="1"/>
        <v>753000</v>
      </c>
      <c r="O24" s="59">
        <v>773000</v>
      </c>
      <c r="P24" s="59"/>
      <c r="Q24" s="59"/>
    </row>
    <row r="25" spans="1:17">
      <c r="A25" s="5" t="s">
        <v>190</v>
      </c>
      <c r="B25" s="39">
        <v>0</v>
      </c>
      <c r="C25" s="40">
        <v>0</v>
      </c>
      <c r="D25" s="39">
        <v>0</v>
      </c>
      <c r="E25" s="39">
        <v>0</v>
      </c>
      <c r="F25" s="39">
        <v>0</v>
      </c>
      <c r="G25" s="40">
        <v>50000</v>
      </c>
      <c r="H25" s="40"/>
      <c r="I25" s="40"/>
      <c r="J25" s="40"/>
      <c r="K25" s="40"/>
      <c r="L25" s="39">
        <v>0</v>
      </c>
      <c r="M25" s="39"/>
      <c r="N25" s="41">
        <f t="shared" si="1"/>
        <v>50000</v>
      </c>
      <c r="O25" s="48">
        <v>0</v>
      </c>
      <c r="P25" s="48"/>
      <c r="Q25" s="48"/>
    </row>
    <row r="26" spans="1:17">
      <c r="A26" s="22" t="s">
        <v>191</v>
      </c>
      <c r="B26" s="39">
        <v>0</v>
      </c>
      <c r="C26" s="40">
        <v>0</v>
      </c>
      <c r="D26" s="39">
        <v>0</v>
      </c>
      <c r="E26" s="39">
        <v>200000</v>
      </c>
      <c r="F26" s="39">
        <v>150000</v>
      </c>
      <c r="G26" s="40"/>
      <c r="H26" s="40"/>
      <c r="I26" s="40"/>
      <c r="J26" s="40">
        <v>0</v>
      </c>
      <c r="K26" s="40"/>
      <c r="L26" s="39">
        <v>0</v>
      </c>
      <c r="M26" s="39"/>
      <c r="N26" s="41">
        <f t="shared" si="1"/>
        <v>350000</v>
      </c>
      <c r="O26" s="59">
        <v>602000</v>
      </c>
      <c r="P26" s="59"/>
      <c r="Q26" s="59"/>
    </row>
    <row r="27" spans="1:17">
      <c r="A27" s="5" t="s">
        <v>192</v>
      </c>
      <c r="B27" s="39">
        <v>0</v>
      </c>
      <c r="C27" s="40"/>
      <c r="D27" s="40">
        <v>200000</v>
      </c>
      <c r="E27" s="39">
        <v>0</v>
      </c>
      <c r="F27" s="39"/>
      <c r="G27" s="40"/>
      <c r="H27" s="40"/>
      <c r="I27" s="40"/>
      <c r="J27" s="40"/>
      <c r="K27" s="40">
        <v>350000</v>
      </c>
      <c r="L27" s="40"/>
      <c r="M27" s="40">
        <v>3000</v>
      </c>
      <c r="N27" s="41">
        <f t="shared" si="1"/>
        <v>553000</v>
      </c>
      <c r="O27" s="48">
        <v>0</v>
      </c>
      <c r="P27" s="48"/>
      <c r="Q27" s="48"/>
    </row>
    <row r="28" spans="1:17">
      <c r="A28" s="22" t="s">
        <v>193</v>
      </c>
      <c r="B28" s="51">
        <v>200000</v>
      </c>
      <c r="C28" s="40">
        <v>0</v>
      </c>
      <c r="D28" s="40">
        <v>300000</v>
      </c>
      <c r="E28" s="39">
        <v>0</v>
      </c>
      <c r="F28" s="39">
        <v>100000</v>
      </c>
      <c r="G28" s="40"/>
      <c r="H28" s="40"/>
      <c r="I28" s="40"/>
      <c r="J28" s="40"/>
      <c r="K28" s="40"/>
      <c r="L28" s="40"/>
      <c r="M28" s="39"/>
      <c r="N28" s="41">
        <f t="shared" si="1"/>
        <v>600000</v>
      </c>
      <c r="O28" s="59">
        <v>600000</v>
      </c>
      <c r="P28" s="59"/>
      <c r="Q28" s="59"/>
    </row>
    <row r="29" spans="1:17">
      <c r="A29" s="5" t="s">
        <v>194</v>
      </c>
      <c r="B29" s="39">
        <v>0</v>
      </c>
      <c r="C29" s="40">
        <v>0</v>
      </c>
      <c r="D29" s="39">
        <v>0</v>
      </c>
      <c r="E29" s="39">
        <v>0</v>
      </c>
      <c r="F29" s="39"/>
      <c r="G29" s="40"/>
      <c r="H29" s="40"/>
      <c r="I29" s="40"/>
      <c r="J29" s="40"/>
      <c r="K29" s="40"/>
      <c r="L29" s="40"/>
      <c r="M29" s="39"/>
      <c r="N29" s="41">
        <f t="shared" si="1"/>
        <v>0</v>
      </c>
      <c r="O29" s="48">
        <v>0</v>
      </c>
      <c r="P29" s="48"/>
      <c r="Q29" s="48"/>
    </row>
    <row r="30" spans="1:17">
      <c r="A30" s="22" t="s">
        <v>195</v>
      </c>
      <c r="B30" s="39">
        <v>0</v>
      </c>
      <c r="C30" s="40">
        <v>0</v>
      </c>
      <c r="D30" s="39">
        <v>0</v>
      </c>
      <c r="E30" s="39">
        <v>0</v>
      </c>
      <c r="F30" s="39">
        <v>50000</v>
      </c>
      <c r="G30" s="40"/>
      <c r="H30" s="40"/>
      <c r="I30" s="40"/>
      <c r="J30" s="40">
        <v>100000</v>
      </c>
      <c r="K30" s="40"/>
      <c r="L30" s="40"/>
      <c r="M30" s="39"/>
      <c r="N30" s="41">
        <f t="shared" si="1"/>
        <v>150000</v>
      </c>
      <c r="O30" s="48">
        <v>14000</v>
      </c>
      <c r="P30" s="48"/>
      <c r="Q30" s="48"/>
    </row>
    <row r="31" spans="1:17">
      <c r="A31" s="5" t="s">
        <v>196</v>
      </c>
      <c r="B31" s="39">
        <v>0</v>
      </c>
      <c r="C31" s="40">
        <v>0</v>
      </c>
      <c r="D31" s="39">
        <v>0</v>
      </c>
      <c r="E31" s="39">
        <v>0</v>
      </c>
      <c r="F31" s="39"/>
      <c r="G31" s="40"/>
      <c r="H31" s="40"/>
      <c r="I31" s="40"/>
      <c r="J31" s="40"/>
      <c r="K31" s="40"/>
      <c r="L31" s="40"/>
      <c r="M31" s="39"/>
      <c r="N31" s="41">
        <f>+SUM(B31:M31)</f>
        <v>0</v>
      </c>
      <c r="O31" s="48">
        <v>0</v>
      </c>
      <c r="P31" s="48"/>
      <c r="Q31" s="48"/>
    </row>
    <row r="32" spans="1:17">
      <c r="A32" s="22" t="s">
        <v>86</v>
      </c>
      <c r="B32" s="39">
        <v>0</v>
      </c>
      <c r="C32" s="40">
        <v>0</v>
      </c>
      <c r="D32" s="40">
        <v>200000</v>
      </c>
      <c r="E32" s="39">
        <v>0</v>
      </c>
      <c r="F32" s="39"/>
      <c r="G32" s="40">
        <v>350000</v>
      </c>
      <c r="H32" s="40"/>
      <c r="I32" s="40"/>
      <c r="J32" s="40"/>
      <c r="K32" s="40">
        <v>300000</v>
      </c>
      <c r="L32" s="40"/>
      <c r="M32" s="39"/>
      <c r="N32" s="41">
        <f t="shared" si="1"/>
        <v>850000</v>
      </c>
      <c r="O32" s="59">
        <v>100000</v>
      </c>
      <c r="P32" s="59"/>
      <c r="Q32" s="59"/>
    </row>
    <row r="33" spans="1:18">
      <c r="A33" s="5" t="s">
        <v>197</v>
      </c>
      <c r="B33" s="51">
        <v>100000</v>
      </c>
      <c r="C33" s="40">
        <v>0</v>
      </c>
      <c r="D33" s="39">
        <v>0</v>
      </c>
      <c r="E33" s="39">
        <v>0</v>
      </c>
      <c r="F33" s="39">
        <v>400000</v>
      </c>
      <c r="G33" s="40"/>
      <c r="H33" s="40">
        <v>300000</v>
      </c>
      <c r="I33" s="40"/>
      <c r="J33" s="40">
        <v>400000</v>
      </c>
      <c r="K33" s="40"/>
      <c r="L33" s="40"/>
      <c r="M33" s="39"/>
      <c r="N33" s="41">
        <f t="shared" si="1"/>
        <v>1200000</v>
      </c>
      <c r="O33" s="59">
        <v>100000</v>
      </c>
      <c r="P33" s="59"/>
      <c r="Q33" s="59"/>
    </row>
    <row r="34" spans="1:18">
      <c r="A34" s="23" t="s">
        <v>55</v>
      </c>
      <c r="B34" s="41">
        <f t="shared" ref="B34:M34" si="2">+SUM(B2:B33)</f>
        <v>950000</v>
      </c>
      <c r="C34" s="41">
        <f t="shared" si="2"/>
        <v>492000</v>
      </c>
      <c r="D34" s="41">
        <f t="shared" si="2"/>
        <v>2670000</v>
      </c>
      <c r="E34" s="41">
        <f t="shared" si="2"/>
        <v>1280000</v>
      </c>
      <c r="F34" s="41">
        <f t="shared" si="2"/>
        <v>1050000</v>
      </c>
      <c r="G34" s="41">
        <f t="shared" si="2"/>
        <v>1103000</v>
      </c>
      <c r="H34" s="41">
        <f t="shared" si="2"/>
        <v>950000</v>
      </c>
      <c r="I34" s="41">
        <f t="shared" si="2"/>
        <v>1003000</v>
      </c>
      <c r="J34" s="41">
        <f t="shared" si="2"/>
        <v>1700000</v>
      </c>
      <c r="K34" s="41">
        <f t="shared" si="2"/>
        <v>850000</v>
      </c>
      <c r="L34" s="41">
        <f t="shared" si="2"/>
        <v>700000</v>
      </c>
      <c r="M34" s="41">
        <f t="shared" si="2"/>
        <v>3000</v>
      </c>
      <c r="N34" s="41">
        <f>+SUM(B34:M34)</f>
        <v>12751000</v>
      </c>
      <c r="O34" s="41">
        <f>SUM(O2:O33)</f>
        <v>5533100</v>
      </c>
      <c r="P34" s="41"/>
      <c r="Q34" s="41"/>
      <c r="R34" s="41">
        <f>SUM(R2:R33)</f>
        <v>0</v>
      </c>
    </row>
    <row r="35" spans="1:18">
      <c r="O35" s="48">
        <f>O34+R34</f>
        <v>5533100</v>
      </c>
      <c r="P35" s="48"/>
      <c r="Q35" s="48"/>
    </row>
    <row r="36" spans="1:18">
      <c r="A36" s="5" t="s">
        <v>207</v>
      </c>
      <c r="B36" s="48">
        <f>B34*0.04</f>
        <v>38000</v>
      </c>
      <c r="C36" s="48">
        <f t="shared" ref="C36:M36" si="3">C34*0.04</f>
        <v>19680</v>
      </c>
      <c r="D36" s="48">
        <f t="shared" si="3"/>
        <v>106800</v>
      </c>
      <c r="E36" s="48">
        <f t="shared" si="3"/>
        <v>51200</v>
      </c>
      <c r="F36" s="48">
        <f t="shared" si="3"/>
        <v>42000</v>
      </c>
      <c r="G36" s="48">
        <f t="shared" si="3"/>
        <v>44120</v>
      </c>
      <c r="H36" s="48">
        <f t="shared" si="3"/>
        <v>38000</v>
      </c>
      <c r="I36" s="48">
        <f t="shared" si="3"/>
        <v>40120</v>
      </c>
      <c r="J36" s="48">
        <f t="shared" si="3"/>
        <v>68000</v>
      </c>
      <c r="K36" s="48">
        <f t="shared" si="3"/>
        <v>34000</v>
      </c>
      <c r="L36" s="48">
        <f t="shared" si="3"/>
        <v>28000</v>
      </c>
      <c r="M36" s="48">
        <f t="shared" si="3"/>
        <v>120</v>
      </c>
      <c r="N36" s="48"/>
    </row>
    <row r="38" spans="1:18">
      <c r="N38" s="40">
        <v>2468480</v>
      </c>
    </row>
    <row r="39" spans="1:18">
      <c r="F39" s="48">
        <f>D7*(4/100)</f>
        <v>2000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7" sqref="F37"/>
    </sheetView>
  </sheetViews>
  <sheetFormatPr baseColWidth="10" defaultRowHeight="15"/>
  <cols>
    <col min="1" max="1" width="22.85546875" customWidth="1"/>
    <col min="2" max="2" width="11.7109375" customWidth="1"/>
    <col min="3" max="3" width="12.140625" customWidth="1"/>
  </cols>
  <sheetData>
    <row r="1" spans="1:14">
      <c r="A1" t="s">
        <v>80</v>
      </c>
      <c r="B1" s="37" t="s">
        <v>65</v>
      </c>
      <c r="C1" s="37" t="s">
        <v>66</v>
      </c>
      <c r="D1" s="37" t="s">
        <v>67</v>
      </c>
      <c r="E1" s="37" t="s">
        <v>81</v>
      </c>
      <c r="F1" s="37" t="s">
        <v>82</v>
      </c>
      <c r="G1" s="37" t="s">
        <v>58</v>
      </c>
      <c r="H1" s="37" t="s">
        <v>59</v>
      </c>
      <c r="I1" s="37" t="s">
        <v>60</v>
      </c>
      <c r="J1" s="37" t="s">
        <v>61</v>
      </c>
      <c r="K1" s="37" t="s">
        <v>62</v>
      </c>
      <c r="L1" s="37" t="s">
        <v>63</v>
      </c>
      <c r="M1" s="37" t="s">
        <v>64</v>
      </c>
      <c r="N1" s="37" t="s">
        <v>55</v>
      </c>
    </row>
    <row r="2" spans="1:14">
      <c r="A2" s="22" t="s">
        <v>167</v>
      </c>
      <c r="B2" s="24">
        <f>(prets25!B2*(4/100))</f>
        <v>0</v>
      </c>
      <c r="C2" s="24">
        <f>(prets25!C2*(4/100))</f>
        <v>0</v>
      </c>
      <c r="D2" s="24">
        <f>(prets25!D2*(4/100))</f>
        <v>0</v>
      </c>
      <c r="E2" s="24">
        <f>(prets25!E2*(4/100))</f>
        <v>16000</v>
      </c>
      <c r="F2" s="24">
        <f>(prets25!F2*(4/100))</f>
        <v>0</v>
      </c>
      <c r="G2" s="24">
        <f>(prets25!G2*(4/100))</f>
        <v>0</v>
      </c>
      <c r="H2" s="24">
        <f>(prets25!H2*(4/100))</f>
        <v>0</v>
      </c>
      <c r="I2" s="24">
        <f>(prets25!I2*(4/100))</f>
        <v>0</v>
      </c>
      <c r="J2" s="24">
        <f>(prets25!J2*(4/100))</f>
        <v>0</v>
      </c>
      <c r="K2" s="24">
        <f>(prets25!K2*(4/100))</f>
        <v>0</v>
      </c>
      <c r="L2" s="24">
        <f>(prets25!L2*(4/100))</f>
        <v>2000</v>
      </c>
      <c r="M2" s="24">
        <f>(prets25!M2*(4/100))</f>
        <v>0</v>
      </c>
      <c r="N2" s="30">
        <f>+SUM(B2:M2)</f>
        <v>18000</v>
      </c>
    </row>
    <row r="3" spans="1:14">
      <c r="A3" s="5" t="s">
        <v>168</v>
      </c>
      <c r="B3" s="24">
        <f>(prets25!B3*(4/100))</f>
        <v>0</v>
      </c>
      <c r="C3" s="24">
        <f>(prets25!C3*(4/100))</f>
        <v>0</v>
      </c>
      <c r="D3" s="24">
        <f>(prets25!D3*(4/100))</f>
        <v>0</v>
      </c>
      <c r="E3" s="24">
        <f>(prets25!E3*(4/100))</f>
        <v>0</v>
      </c>
      <c r="F3" s="24">
        <f>(prets25!F3*(4/100))</f>
        <v>0</v>
      </c>
      <c r="G3" s="24">
        <f>(prets25!G3*(4/100))</f>
        <v>0</v>
      </c>
      <c r="H3" s="24">
        <f>(prets25!H3*(4/100))</f>
        <v>12000</v>
      </c>
      <c r="I3" s="24">
        <f>(prets25!I3*(4/100))</f>
        <v>0</v>
      </c>
      <c r="J3" s="24">
        <f>(prets25!J3*(4/100))</f>
        <v>0</v>
      </c>
      <c r="K3" s="24">
        <f>(prets25!K3*(4/100))</f>
        <v>0</v>
      </c>
      <c r="L3" s="24">
        <f>(prets25!L3*(4/100))</f>
        <v>0</v>
      </c>
      <c r="M3" s="24">
        <f>(prets25!M3*(4/100))</f>
        <v>0</v>
      </c>
      <c r="N3" s="30">
        <f t="shared" ref="N3:N33" si="0">+SUM(B3:M3)</f>
        <v>12000</v>
      </c>
    </row>
    <row r="4" spans="1:14">
      <c r="A4" s="22" t="s">
        <v>169</v>
      </c>
      <c r="B4" s="24">
        <f>(prets25!B4*(4/100))</f>
        <v>0</v>
      </c>
      <c r="C4" s="24">
        <f>(prets25!C4*(4/100))</f>
        <v>0</v>
      </c>
      <c r="D4" s="24">
        <f>(prets25!D4*(4/100))</f>
        <v>0</v>
      </c>
      <c r="E4" s="24">
        <f>(prets25!E4*(4/100))</f>
        <v>0</v>
      </c>
      <c r="F4" s="24">
        <f>(prets25!F4*(4/100))</f>
        <v>0</v>
      </c>
      <c r="G4" s="24">
        <f>(prets25!G4*(4/100))</f>
        <v>0</v>
      </c>
      <c r="H4" s="24">
        <f>(prets25!H4*(4/100))</f>
        <v>0</v>
      </c>
      <c r="I4" s="24">
        <f>(prets25!I4*(4/100))</f>
        <v>0</v>
      </c>
      <c r="J4" s="24">
        <f>(prets25!J4*(4/100))</f>
        <v>0</v>
      </c>
      <c r="K4" s="24">
        <f>(prets25!K4*(4/100))</f>
        <v>0</v>
      </c>
      <c r="L4" s="24">
        <f>(prets25!L4*(4/100))</f>
        <v>0</v>
      </c>
      <c r="M4" s="24">
        <f>(prets25!M4*(4/100))</f>
        <v>0</v>
      </c>
      <c r="N4" s="30">
        <f t="shared" si="0"/>
        <v>0</v>
      </c>
    </row>
    <row r="5" spans="1:14">
      <c r="A5" s="5" t="s">
        <v>170</v>
      </c>
      <c r="B5" s="24">
        <f>(prets25!B5*(4/100))</f>
        <v>0</v>
      </c>
      <c r="C5" s="24">
        <f>(prets25!C5*(4/100))</f>
        <v>0</v>
      </c>
      <c r="D5" s="24">
        <f>(prets25!D5*(4/100))</f>
        <v>0</v>
      </c>
      <c r="E5" s="24">
        <f>(prets25!E5*(4/100))</f>
        <v>6000</v>
      </c>
      <c r="F5" s="24">
        <f>(prets25!F5*(4/100))</f>
        <v>0</v>
      </c>
      <c r="G5" s="24">
        <f>(prets25!G5*(4/100))</f>
        <v>0</v>
      </c>
      <c r="H5" s="24">
        <f>(prets25!H5*(4/100))</f>
        <v>0</v>
      </c>
      <c r="I5" s="24">
        <f>(prets25!I5*(4/100))</f>
        <v>6000</v>
      </c>
      <c r="J5" s="24">
        <f>(prets25!J5*(4/100))</f>
        <v>0</v>
      </c>
      <c r="K5" s="24">
        <f>(prets25!K5*(4/100))</f>
        <v>0</v>
      </c>
      <c r="L5" s="24">
        <f>(prets25!L5*(4/100))</f>
        <v>0</v>
      </c>
      <c r="M5" s="24">
        <f>(prets25!M5*(4/100))</f>
        <v>0</v>
      </c>
      <c r="N5" s="30">
        <f t="shared" si="0"/>
        <v>12000</v>
      </c>
    </row>
    <row r="6" spans="1:14">
      <c r="A6" s="22" t="s">
        <v>171</v>
      </c>
      <c r="B6" s="24">
        <f>(prets25!B6*(4/100))</f>
        <v>0</v>
      </c>
      <c r="C6" s="24">
        <f>(prets25!C6*(4/100))</f>
        <v>0</v>
      </c>
      <c r="D6" s="24">
        <f>(prets25!D6*(4/100))</f>
        <v>4000</v>
      </c>
      <c r="E6" s="24">
        <f>(prets25!E6*(4/100))</f>
        <v>0</v>
      </c>
      <c r="F6" s="24">
        <f>(prets25!F6*(4/100))</f>
        <v>0</v>
      </c>
      <c r="G6" s="24">
        <f>(prets25!G6*(4/100))</f>
        <v>0</v>
      </c>
      <c r="H6" s="24">
        <f>(prets25!H6*(4/100))</f>
        <v>0</v>
      </c>
      <c r="I6" s="24">
        <f>(prets25!I6*(4/100))</f>
        <v>0</v>
      </c>
      <c r="J6" s="24">
        <f>(prets25!J6*(4/100))</f>
        <v>0</v>
      </c>
      <c r="K6" s="24">
        <f>(prets25!K6*(4/100))</f>
        <v>0</v>
      </c>
      <c r="L6" s="24">
        <f>(prets25!L6*(4/100))</f>
        <v>8000</v>
      </c>
      <c r="M6" s="24">
        <f>(prets25!M6*(4/100))</f>
        <v>0</v>
      </c>
      <c r="N6" s="30">
        <f t="shared" si="0"/>
        <v>12000</v>
      </c>
    </row>
    <row r="7" spans="1:14">
      <c r="A7" s="5" t="s">
        <v>172</v>
      </c>
      <c r="B7" s="24">
        <f>(prets25!B7*(4/100))</f>
        <v>8000</v>
      </c>
      <c r="C7" s="24">
        <f>(prets25!C7*(4/100))</f>
        <v>0</v>
      </c>
      <c r="D7" s="24">
        <f>(prets25!D7*(4/100))</f>
        <v>2000</v>
      </c>
      <c r="E7" s="24">
        <f>(prets25!E7*(4/100))</f>
        <v>0</v>
      </c>
      <c r="F7" s="24">
        <f>(prets25!F7*(4/100))</f>
        <v>0</v>
      </c>
      <c r="G7" s="24">
        <f>(prets25!G7*(4/100))</f>
        <v>8000</v>
      </c>
      <c r="H7" s="24">
        <f>(prets25!H7*(4/100))</f>
        <v>0</v>
      </c>
      <c r="I7" s="24">
        <f>(prets25!I7*(4/100))</f>
        <v>0</v>
      </c>
      <c r="J7" s="24">
        <f>(prets25!J7*(4/100))</f>
        <v>0</v>
      </c>
      <c r="K7" s="24">
        <f>(prets25!K7*(4/100))</f>
        <v>0</v>
      </c>
      <c r="L7" s="24">
        <f>(prets25!L7*(4/100))</f>
        <v>2000</v>
      </c>
      <c r="M7" s="24">
        <f>(prets25!M7*(4/100))</f>
        <v>0</v>
      </c>
      <c r="N7" s="30">
        <f t="shared" si="0"/>
        <v>20000</v>
      </c>
    </row>
    <row r="8" spans="1:14">
      <c r="A8" s="22" t="s">
        <v>173</v>
      </c>
      <c r="B8" s="24">
        <f>(prets25!B8*(4/100))</f>
        <v>0</v>
      </c>
      <c r="C8" s="24">
        <f>(prets25!C8*(4/100))</f>
        <v>0</v>
      </c>
      <c r="D8" s="24">
        <f>(prets25!D8*(4/100))</f>
        <v>12000</v>
      </c>
      <c r="E8" s="24">
        <f>(prets25!E8*(4/100))</f>
        <v>0</v>
      </c>
      <c r="F8" s="24">
        <f>(prets25!F8*(4/100))</f>
        <v>0</v>
      </c>
      <c r="G8" s="24">
        <f>(prets25!G8*(4/100))</f>
        <v>0</v>
      </c>
      <c r="H8" s="24">
        <f>(prets25!H8*(4/100))</f>
        <v>0</v>
      </c>
      <c r="I8" s="24">
        <f>(prets25!I8*(4/100))</f>
        <v>0</v>
      </c>
      <c r="J8" s="24">
        <f>(prets25!J8*(4/100))</f>
        <v>0</v>
      </c>
      <c r="K8" s="24">
        <f>(prets25!K8*(4/100))</f>
        <v>0</v>
      </c>
      <c r="L8" s="24">
        <f>(prets25!L8*(4/100))</f>
        <v>0</v>
      </c>
      <c r="M8" s="24">
        <f>(prets25!M8*(4/100))</f>
        <v>0</v>
      </c>
      <c r="N8" s="30">
        <f t="shared" si="0"/>
        <v>12000</v>
      </c>
    </row>
    <row r="9" spans="1:14">
      <c r="A9" s="5" t="s">
        <v>174</v>
      </c>
      <c r="B9" s="24">
        <f>(prets25!B9*(4/100))</f>
        <v>0</v>
      </c>
      <c r="C9" s="24">
        <f>(prets25!C9*(4/100))</f>
        <v>8000</v>
      </c>
      <c r="D9" s="24">
        <f>(prets25!D9*(4/100))</f>
        <v>0</v>
      </c>
      <c r="E9" s="24">
        <f>(prets25!E9*(4/100))</f>
        <v>0</v>
      </c>
      <c r="F9" s="24">
        <f>(prets25!F9*(4/100))</f>
        <v>6000</v>
      </c>
      <c r="G9" s="24">
        <f>(prets25!G9*(4/100))</f>
        <v>4000</v>
      </c>
      <c r="H9" s="24">
        <f>(prets25!H9*(4/100))</f>
        <v>0</v>
      </c>
      <c r="I9" s="24">
        <f>(prets25!I9*(4/100))</f>
        <v>0</v>
      </c>
      <c r="J9" s="24">
        <f>(prets25!J9*(4/100))</f>
        <v>0</v>
      </c>
      <c r="K9" s="24">
        <f>(prets25!K9*(4/100))</f>
        <v>0</v>
      </c>
      <c r="L9" s="24">
        <f>(prets25!L9*(4/100))</f>
        <v>0</v>
      </c>
      <c r="M9" s="24">
        <f>(prets25!M9*(4/100))</f>
        <v>0</v>
      </c>
      <c r="N9" s="30">
        <f t="shared" si="0"/>
        <v>18000</v>
      </c>
    </row>
    <row r="10" spans="1:14">
      <c r="A10" s="22" t="s">
        <v>175</v>
      </c>
      <c r="B10" s="24">
        <f>(prets25!B10*(4/100))</f>
        <v>0</v>
      </c>
      <c r="C10" s="24">
        <f>(prets25!C10*(4/100))</f>
        <v>0</v>
      </c>
      <c r="D10" s="24">
        <f>(prets25!D10*(4/100))</f>
        <v>0</v>
      </c>
      <c r="E10" s="24">
        <f>(prets25!E10*(4/100))</f>
        <v>0</v>
      </c>
      <c r="F10" s="24">
        <f>(prets25!F10*(4/100))</f>
        <v>0</v>
      </c>
      <c r="G10" s="24">
        <f>(prets25!G10*(4/100))</f>
        <v>0</v>
      </c>
      <c r="H10" s="24">
        <f>(prets25!H10*(4/100))</f>
        <v>6000</v>
      </c>
      <c r="I10" s="24">
        <f>(prets25!I10*(4/100))</f>
        <v>20000</v>
      </c>
      <c r="J10" s="24">
        <f>(prets25!J10*(4/100))</f>
        <v>32000</v>
      </c>
      <c r="K10" s="24">
        <f>(prets25!K10*(4/100))</f>
        <v>0</v>
      </c>
      <c r="L10" s="24">
        <f>(prets25!L10*(4/100))</f>
        <v>0</v>
      </c>
      <c r="M10" s="24">
        <f>(prets25!M10*(4/100))</f>
        <v>0</v>
      </c>
      <c r="N10" s="30">
        <f t="shared" si="0"/>
        <v>58000</v>
      </c>
    </row>
    <row r="11" spans="1:14">
      <c r="A11" s="5" t="s">
        <v>176</v>
      </c>
      <c r="B11" s="24">
        <f>(prets25!B11*(4/100))</f>
        <v>0</v>
      </c>
      <c r="C11" s="24">
        <f>(prets25!C11*(4/100))</f>
        <v>10160</v>
      </c>
      <c r="D11" s="24">
        <f>(prets25!D11*(4/100))</f>
        <v>0</v>
      </c>
      <c r="E11" s="24">
        <f>(prets25!E11*(4/100))</f>
        <v>8000</v>
      </c>
      <c r="F11" s="24">
        <f>(prets25!F11*(4/100))</f>
        <v>8000</v>
      </c>
      <c r="G11" s="24">
        <f>(prets25!G11*(4/100))</f>
        <v>12120</v>
      </c>
      <c r="H11" s="24">
        <f>(prets25!H11*(4/100))</f>
        <v>0</v>
      </c>
      <c r="I11" s="24">
        <f>(prets25!I11*(4/100))</f>
        <v>0</v>
      </c>
      <c r="J11" s="24">
        <f>(prets25!J11*(4/100))</f>
        <v>0</v>
      </c>
      <c r="K11" s="24">
        <f>(prets25!K11*(4/100))</f>
        <v>0</v>
      </c>
      <c r="L11" s="24">
        <f>(prets25!L11*(4/100))</f>
        <v>16000</v>
      </c>
      <c r="M11" s="24">
        <f>(prets25!M11*(4/100))</f>
        <v>0</v>
      </c>
      <c r="N11" s="30">
        <f t="shared" si="0"/>
        <v>54280</v>
      </c>
    </row>
    <row r="12" spans="1:14">
      <c r="A12" s="22" t="s">
        <v>177</v>
      </c>
      <c r="B12" s="24">
        <f>(prets25!B12*(4/100))</f>
        <v>0</v>
      </c>
      <c r="C12" s="24">
        <f>(prets25!C12*(4/100))</f>
        <v>0</v>
      </c>
      <c r="D12" s="24">
        <f>(prets25!D12*(4/100))</f>
        <v>0</v>
      </c>
      <c r="E12" s="24">
        <f>(prets25!E12*(4/100))</f>
        <v>0</v>
      </c>
      <c r="F12" s="24">
        <f>(prets25!F12*(4/100))</f>
        <v>0</v>
      </c>
      <c r="G12" s="24">
        <f>(prets25!G12*(4/100))</f>
        <v>0</v>
      </c>
      <c r="H12" s="24">
        <f>(prets25!H12*(4/100))</f>
        <v>0</v>
      </c>
      <c r="I12" s="24">
        <f>(prets25!I12*(4/100))</f>
        <v>0</v>
      </c>
      <c r="J12" s="24">
        <f>(prets25!J12*(4/100))</f>
        <v>0</v>
      </c>
      <c r="K12" s="24">
        <f>(prets25!K12*(4/100))</f>
        <v>8000</v>
      </c>
      <c r="L12" s="24">
        <f>(prets25!L12*(4/100))</f>
        <v>0</v>
      </c>
      <c r="M12" s="24">
        <f>(prets25!M12*(4/100))</f>
        <v>0</v>
      </c>
      <c r="N12" s="30">
        <f t="shared" si="0"/>
        <v>8000</v>
      </c>
    </row>
    <row r="13" spans="1:14">
      <c r="A13" s="5" t="s">
        <v>178</v>
      </c>
      <c r="B13" s="24">
        <f>(prets25!B13*(4/100))</f>
        <v>4000</v>
      </c>
      <c r="C13" s="24">
        <f>(prets25!C13*(4/100))</f>
        <v>0</v>
      </c>
      <c r="D13" s="24">
        <f>(prets25!D13*(4/100))</f>
        <v>8000</v>
      </c>
      <c r="E13" s="24">
        <f>(prets25!E13*(4/100))</f>
        <v>0</v>
      </c>
      <c r="F13" s="24">
        <f>(prets25!F13*(4/100))</f>
        <v>0</v>
      </c>
      <c r="G13" s="24">
        <f>(prets25!G13*(4/100))</f>
        <v>0</v>
      </c>
      <c r="H13" s="24">
        <f>(prets25!H13*(4/100))</f>
        <v>6000</v>
      </c>
      <c r="I13" s="24">
        <f>(prets25!I13*(4/100))</f>
        <v>0</v>
      </c>
      <c r="J13" s="24">
        <f>(prets25!J13*(4/100))</f>
        <v>8000</v>
      </c>
      <c r="K13" s="24">
        <f>(prets25!K13*(4/100))</f>
        <v>0</v>
      </c>
      <c r="L13" s="24">
        <f>(prets25!L13*(4/100))</f>
        <v>0</v>
      </c>
      <c r="M13" s="24">
        <f>(prets25!M13*(4/100))</f>
        <v>0</v>
      </c>
      <c r="N13" s="30">
        <f t="shared" si="0"/>
        <v>26000</v>
      </c>
    </row>
    <row r="14" spans="1:14">
      <c r="A14" s="22" t="s">
        <v>179</v>
      </c>
      <c r="B14" s="24">
        <f>(prets25!B14*(4/100))</f>
        <v>0</v>
      </c>
      <c r="C14" s="24">
        <f>(prets25!C14*(4/100))</f>
        <v>0</v>
      </c>
      <c r="D14" s="24">
        <f>(prets25!D14*(4/100))</f>
        <v>0</v>
      </c>
      <c r="E14" s="24">
        <f>(prets25!E14*(4/100))</f>
        <v>0</v>
      </c>
      <c r="F14" s="24">
        <f>(prets25!F14*(4/100))</f>
        <v>0</v>
      </c>
      <c r="G14" s="24">
        <f>(prets25!G14*(4/100))</f>
        <v>0</v>
      </c>
      <c r="H14" s="24">
        <f>(prets25!H14*(4/100))</f>
        <v>0</v>
      </c>
      <c r="I14" s="24">
        <f>(prets25!I14*(4/100))</f>
        <v>0</v>
      </c>
      <c r="J14" s="24">
        <f>(prets25!J14*(4/100))</f>
        <v>0</v>
      </c>
      <c r="K14" s="24">
        <f>(prets25!K14*(4/100))</f>
        <v>0</v>
      </c>
      <c r="L14" s="24">
        <f>(prets25!L14*(4/100))</f>
        <v>0</v>
      </c>
      <c r="M14" s="24">
        <f>(prets25!M14*(4/100))</f>
        <v>0</v>
      </c>
      <c r="N14" s="30">
        <f t="shared" si="0"/>
        <v>0</v>
      </c>
    </row>
    <row r="15" spans="1:14">
      <c r="A15" s="5" t="s">
        <v>180</v>
      </c>
      <c r="B15" s="24">
        <f>(prets25!B15*(4/100))</f>
        <v>0</v>
      </c>
      <c r="C15" s="24">
        <f>(prets25!C15*(4/100))</f>
        <v>1520</v>
      </c>
      <c r="D15" s="24">
        <f>(prets25!D15*(4/100))</f>
        <v>4000</v>
      </c>
      <c r="E15" s="24">
        <f>(prets25!E15*(4/100))</f>
        <v>8000</v>
      </c>
      <c r="F15" s="24">
        <f>(prets25!F15*(4/100))</f>
        <v>0</v>
      </c>
      <c r="G15" s="24">
        <f>(prets25!G15*(4/100))</f>
        <v>0</v>
      </c>
      <c r="H15" s="24">
        <f>(prets25!H15*(4/100))</f>
        <v>0</v>
      </c>
      <c r="I15" s="24">
        <f>(prets25!I15*(4/100))</f>
        <v>0</v>
      </c>
      <c r="J15" s="24">
        <f>(prets25!J15*(4/100))</f>
        <v>0</v>
      </c>
      <c r="K15" s="24">
        <f>(prets25!K15*(4/100))</f>
        <v>0</v>
      </c>
      <c r="L15" s="24">
        <f>(prets25!L15*(4/100))</f>
        <v>0</v>
      </c>
      <c r="M15" s="24">
        <f>(prets25!M15*(4/100))</f>
        <v>0</v>
      </c>
      <c r="N15" s="30">
        <f t="shared" si="0"/>
        <v>13520</v>
      </c>
    </row>
    <row r="16" spans="1:14">
      <c r="A16" s="22" t="s">
        <v>181</v>
      </c>
      <c r="B16" s="24">
        <f>(prets25!B16*(4/100))</f>
        <v>0</v>
      </c>
      <c r="C16" s="24">
        <f>(prets25!C16*(4/100))</f>
        <v>0</v>
      </c>
      <c r="D16" s="24">
        <f>(prets25!D16*(4/100))</f>
        <v>0</v>
      </c>
      <c r="E16" s="24">
        <f>(prets25!E16*(4/100))</f>
        <v>0</v>
      </c>
      <c r="F16" s="24">
        <f>(prets25!F16*(4/100))</f>
        <v>0</v>
      </c>
      <c r="G16" s="24">
        <f>(prets25!G16*(4/100))</f>
        <v>0</v>
      </c>
      <c r="H16" s="24">
        <f>(prets25!H16*(4/100))</f>
        <v>0</v>
      </c>
      <c r="I16" s="24">
        <f>(prets25!I16*(4/100))</f>
        <v>0</v>
      </c>
      <c r="J16" s="24">
        <f>(prets25!J16*(4/100))</f>
        <v>0</v>
      </c>
      <c r="K16" s="24">
        <f>(prets25!K16*(4/100))</f>
        <v>0</v>
      </c>
      <c r="L16" s="24">
        <f>(prets25!L16*(4/100))</f>
        <v>0</v>
      </c>
      <c r="M16" s="24">
        <f>(prets25!M16*(4/100))</f>
        <v>0</v>
      </c>
      <c r="N16" s="30">
        <f t="shared" si="0"/>
        <v>0</v>
      </c>
    </row>
    <row r="17" spans="1:14">
      <c r="A17" s="5" t="s">
        <v>182</v>
      </c>
      <c r="B17" s="24">
        <f>(prets25!B17*(4/100))</f>
        <v>0</v>
      </c>
      <c r="C17" s="24">
        <f>(prets25!C17*(4/100))</f>
        <v>0</v>
      </c>
      <c r="D17" s="24">
        <f>(prets25!D17*(4/100))</f>
        <v>0</v>
      </c>
      <c r="E17" s="24">
        <f>(prets25!E17*(4/100))</f>
        <v>0</v>
      </c>
      <c r="F17" s="24">
        <f>(prets25!F17*(4/100))</f>
        <v>0</v>
      </c>
      <c r="G17" s="24">
        <f>(prets25!G17*(4/100))</f>
        <v>0</v>
      </c>
      <c r="H17" s="24">
        <f>(prets25!H17*(4/100))</f>
        <v>0</v>
      </c>
      <c r="I17" s="24">
        <f>(prets25!I17*(4/100))</f>
        <v>0</v>
      </c>
      <c r="J17" s="24">
        <f>(prets25!J17*(4/100))</f>
        <v>0</v>
      </c>
      <c r="K17" s="24">
        <f>(prets25!K17*(4/100))</f>
        <v>0</v>
      </c>
      <c r="L17" s="24">
        <f>(prets25!L17*(4/100))</f>
        <v>0</v>
      </c>
      <c r="M17" s="24">
        <f>(prets25!M17*(4/100))</f>
        <v>0</v>
      </c>
      <c r="N17" s="30">
        <f t="shared" si="0"/>
        <v>0</v>
      </c>
    </row>
    <row r="18" spans="1:14">
      <c r="A18" s="22" t="s">
        <v>183</v>
      </c>
      <c r="B18" s="24">
        <f>(prets25!B18*(4/100))</f>
        <v>0</v>
      </c>
      <c r="C18" s="24">
        <f>(prets25!C18*(4/100))</f>
        <v>0</v>
      </c>
      <c r="D18" s="24">
        <f>(prets25!D18*(4/100))</f>
        <v>8000</v>
      </c>
      <c r="E18" s="24">
        <f>(prets25!E18*(4/100))</f>
        <v>0</v>
      </c>
      <c r="F18" s="24">
        <f>(prets25!F18*(4/100))</f>
        <v>0</v>
      </c>
      <c r="G18" s="24">
        <f>(prets25!G18*(4/100))</f>
        <v>0</v>
      </c>
      <c r="H18" s="24">
        <f>(prets25!H18*(4/100))</f>
        <v>0</v>
      </c>
      <c r="I18" s="24">
        <f>(prets25!I18*(4/100))</f>
        <v>6000</v>
      </c>
      <c r="J18" s="24">
        <f>(prets25!J18*(4/100))</f>
        <v>0</v>
      </c>
      <c r="K18" s="24">
        <f>(prets25!K18*(4/100))</f>
        <v>0</v>
      </c>
      <c r="L18" s="24">
        <f>(prets25!L18*(4/100))</f>
        <v>0</v>
      </c>
      <c r="M18" s="24">
        <f>(prets25!M18*(4/100))</f>
        <v>0</v>
      </c>
      <c r="N18" s="30">
        <f t="shared" si="0"/>
        <v>14000</v>
      </c>
    </row>
    <row r="19" spans="1:14">
      <c r="A19" s="5" t="s">
        <v>184</v>
      </c>
      <c r="B19" s="24">
        <f>(prets25!B19*(4/100))</f>
        <v>4000</v>
      </c>
      <c r="C19" s="24">
        <f>(prets25!C19*(4/100))</f>
        <v>0</v>
      </c>
      <c r="D19" s="24">
        <f>(prets25!D19*(4/100))</f>
        <v>0</v>
      </c>
      <c r="E19" s="24">
        <f>(prets25!E19*(4/100))</f>
        <v>1200</v>
      </c>
      <c r="F19" s="24">
        <f>(prets25!F19*(4/100))</f>
        <v>0</v>
      </c>
      <c r="G19" s="24">
        <f>(prets25!G19*(4/100))</f>
        <v>0</v>
      </c>
      <c r="H19" s="24">
        <f>(prets25!H19*(4/100))</f>
        <v>0</v>
      </c>
      <c r="I19" s="24">
        <f>(prets25!I19*(4/100))</f>
        <v>0</v>
      </c>
      <c r="J19" s="24">
        <f>(prets25!J19*(4/100))</f>
        <v>0</v>
      </c>
      <c r="K19" s="24">
        <f>(prets25!K19*(4/100))</f>
        <v>0</v>
      </c>
      <c r="L19" s="24">
        <f>(prets25!L19*(4/100))</f>
        <v>0</v>
      </c>
      <c r="M19" s="24">
        <f>(prets25!M19*(4/100))</f>
        <v>0</v>
      </c>
      <c r="N19" s="30">
        <f t="shared" si="0"/>
        <v>5200</v>
      </c>
    </row>
    <row r="20" spans="1:14">
      <c r="A20" s="22" t="s">
        <v>185</v>
      </c>
      <c r="B20" s="24">
        <f>(prets25!B20*(4/100))</f>
        <v>0</v>
      </c>
      <c r="C20" s="24">
        <f>(prets25!C20*(4/100))</f>
        <v>0</v>
      </c>
      <c r="D20" s="24">
        <f>(prets25!D20*(4/100))</f>
        <v>0</v>
      </c>
      <c r="E20" s="24">
        <f>(prets25!E20*(4/100))</f>
        <v>4000</v>
      </c>
      <c r="F20" s="24">
        <f>(prets25!F20*(4/100))</f>
        <v>0</v>
      </c>
      <c r="G20" s="24">
        <f>(prets25!G20*(4/100))</f>
        <v>0</v>
      </c>
      <c r="H20" s="24">
        <f>(prets25!H20*(4/100))</f>
        <v>0</v>
      </c>
      <c r="I20" s="24">
        <f>(prets25!I20*(4/100))</f>
        <v>0</v>
      </c>
      <c r="J20" s="24">
        <f>(prets25!J20*(4/100))</f>
        <v>0</v>
      </c>
      <c r="K20" s="24">
        <f>(prets25!K20*(4/100))</f>
        <v>0</v>
      </c>
      <c r="L20" s="24">
        <f>(prets25!L20*(4/100))</f>
        <v>0</v>
      </c>
      <c r="M20" s="24">
        <f>(prets25!M20*(4/100))</f>
        <v>0</v>
      </c>
      <c r="N20" s="30">
        <f t="shared" si="0"/>
        <v>4000</v>
      </c>
    </row>
    <row r="21" spans="1:14">
      <c r="A21" s="5" t="s">
        <v>186</v>
      </c>
      <c r="B21" s="24">
        <f>(prets25!B21*(4/100))</f>
        <v>0</v>
      </c>
      <c r="C21" s="24">
        <f>(prets25!C21*(4/100))</f>
        <v>0</v>
      </c>
      <c r="D21" s="24">
        <f>(prets25!D21*(4/100))</f>
        <v>36800</v>
      </c>
      <c r="E21" s="24">
        <f>(prets25!E21*(4/100))</f>
        <v>0</v>
      </c>
      <c r="F21" s="24">
        <f>(prets25!F21*(4/100))</f>
        <v>0</v>
      </c>
      <c r="G21" s="24">
        <f>(prets25!G21*(4/100))</f>
        <v>0</v>
      </c>
      <c r="H21" s="24">
        <f>(prets25!H21*(4/100))</f>
        <v>2000</v>
      </c>
      <c r="I21" s="24">
        <f>(prets25!I21*(4/100))</f>
        <v>4000</v>
      </c>
      <c r="J21" s="24">
        <f>(prets25!J21*(4/100))</f>
        <v>0</v>
      </c>
      <c r="K21" s="24">
        <f>(prets25!K21*(4/100))</f>
        <v>0</v>
      </c>
      <c r="L21" s="24">
        <f>(prets25!L21*(4/100))</f>
        <v>0</v>
      </c>
      <c r="M21" s="24">
        <f>(prets25!M21*(4/100))</f>
        <v>0</v>
      </c>
      <c r="N21" s="30">
        <f t="shared" si="0"/>
        <v>42800</v>
      </c>
    </row>
    <row r="22" spans="1:14">
      <c r="A22" s="22" t="s">
        <v>187</v>
      </c>
      <c r="B22" s="24">
        <f>(prets25!B22*(4/100))</f>
        <v>0</v>
      </c>
      <c r="C22" s="24">
        <f>(prets25!C22*(4/100))</f>
        <v>0</v>
      </c>
      <c r="D22" s="24">
        <f>(prets25!D22*(4/100))</f>
        <v>0</v>
      </c>
      <c r="E22" s="24">
        <f>(prets25!E22*(4/100))</f>
        <v>0</v>
      </c>
      <c r="F22" s="24">
        <f>(prets25!F22*(4/100))</f>
        <v>0</v>
      </c>
      <c r="G22" s="24">
        <f>(prets25!G22*(4/100))</f>
        <v>0</v>
      </c>
      <c r="H22" s="24">
        <f>(prets25!H22*(4/100))</f>
        <v>0</v>
      </c>
      <c r="I22" s="24">
        <f>(prets25!I22*(4/100))</f>
        <v>0</v>
      </c>
      <c r="J22" s="24">
        <f>(prets25!J22*(4/100))</f>
        <v>0</v>
      </c>
      <c r="K22" s="24">
        <f>(prets25!K22*(4/100))</f>
        <v>0</v>
      </c>
      <c r="L22" s="24">
        <f>(prets25!L22*(4/100))</f>
        <v>0</v>
      </c>
      <c r="M22" s="24">
        <f>(prets25!M22*(4/100))</f>
        <v>0</v>
      </c>
      <c r="N22" s="30">
        <f t="shared" si="0"/>
        <v>0</v>
      </c>
    </row>
    <row r="23" spans="1:14">
      <c r="A23" s="5" t="s">
        <v>188</v>
      </c>
      <c r="B23" s="24">
        <f>(prets25!B23*(4/100))</f>
        <v>0</v>
      </c>
      <c r="C23" s="24">
        <f>(prets25!C23*(4/100))</f>
        <v>0</v>
      </c>
      <c r="D23" s="24">
        <f>(prets25!D23*(4/100))</f>
        <v>0</v>
      </c>
      <c r="E23" s="24">
        <f>(prets25!E23*(4/100))</f>
        <v>0</v>
      </c>
      <c r="F23" s="24">
        <f>(prets25!F23*(4/100))</f>
        <v>0</v>
      </c>
      <c r="G23" s="24">
        <f>(prets25!G23*(4/100))</f>
        <v>0</v>
      </c>
      <c r="H23" s="24">
        <f>(prets25!H23*(4/100))</f>
        <v>0</v>
      </c>
      <c r="I23" s="24">
        <f>(prets25!I23*(4/100))</f>
        <v>0</v>
      </c>
      <c r="J23" s="24">
        <f>(prets25!J23*(4/100))</f>
        <v>0</v>
      </c>
      <c r="K23" s="24">
        <f>(prets25!K23*(4/100))</f>
        <v>0</v>
      </c>
      <c r="L23" s="24">
        <f>(prets25!L23*(4/100))</f>
        <v>0</v>
      </c>
      <c r="M23" s="24">
        <f>(prets25!M23*(4/100))</f>
        <v>0</v>
      </c>
      <c r="N23" s="30">
        <f t="shared" si="0"/>
        <v>0</v>
      </c>
    </row>
    <row r="24" spans="1:14">
      <c r="A24" s="22" t="s">
        <v>189</v>
      </c>
      <c r="B24" s="24">
        <f>(prets25!B24*(4/100))</f>
        <v>10000</v>
      </c>
      <c r="C24" s="24">
        <f>(prets25!C24*(4/100))</f>
        <v>0</v>
      </c>
      <c r="D24" s="24">
        <f>(prets25!D24*(4/100))</f>
        <v>4000</v>
      </c>
      <c r="E24" s="24">
        <f>(prets25!E24*(4/100))</f>
        <v>0</v>
      </c>
      <c r="F24" s="24">
        <f>(prets25!F24*(4/100))</f>
        <v>0</v>
      </c>
      <c r="G24" s="24">
        <f>(prets25!G24*(4/100))</f>
        <v>4000</v>
      </c>
      <c r="H24" s="24">
        <f>(prets25!H24*(4/100))</f>
        <v>0</v>
      </c>
      <c r="I24" s="24">
        <f>(prets25!I24*(4/100))</f>
        <v>4120</v>
      </c>
      <c r="J24" s="24">
        <f>(prets25!J24*(4/100))</f>
        <v>8000</v>
      </c>
      <c r="K24" s="24">
        <f>(prets25!K24*(4/100))</f>
        <v>0</v>
      </c>
      <c r="L24" s="24">
        <f>(prets25!L24*(4/100))</f>
        <v>0</v>
      </c>
      <c r="M24" s="24">
        <f>(prets25!M24*(4/100))</f>
        <v>0</v>
      </c>
      <c r="N24" s="30">
        <f t="shared" si="0"/>
        <v>30120</v>
      </c>
    </row>
    <row r="25" spans="1:14">
      <c r="A25" s="5" t="s">
        <v>190</v>
      </c>
      <c r="B25" s="24">
        <f>(prets25!B25*(4/100))</f>
        <v>0</v>
      </c>
      <c r="C25" s="24">
        <f>(prets25!C25*(4/100))</f>
        <v>0</v>
      </c>
      <c r="D25" s="24">
        <f>(prets25!D25*(4/100))</f>
        <v>0</v>
      </c>
      <c r="E25" s="24">
        <f>(prets25!E25*(4/100))</f>
        <v>0</v>
      </c>
      <c r="F25" s="24">
        <f>(prets25!F25*(4/100))</f>
        <v>0</v>
      </c>
      <c r="G25" s="24">
        <f>(prets25!G25*(4/100))</f>
        <v>2000</v>
      </c>
      <c r="H25" s="24">
        <f>(prets25!H25*(4/100))</f>
        <v>0</v>
      </c>
      <c r="I25" s="24">
        <f>(prets25!I25*(4/100))</f>
        <v>0</v>
      </c>
      <c r="J25" s="24">
        <f>(prets25!J25*(4/100))</f>
        <v>0</v>
      </c>
      <c r="K25" s="24">
        <f>(prets25!K25*(4/100))</f>
        <v>0</v>
      </c>
      <c r="L25" s="24">
        <f>(prets25!L25*(4/100))</f>
        <v>0</v>
      </c>
      <c r="M25" s="24">
        <f>(prets25!M25*(4/100))</f>
        <v>0</v>
      </c>
      <c r="N25" s="30">
        <f t="shared" si="0"/>
        <v>2000</v>
      </c>
    </row>
    <row r="26" spans="1:14">
      <c r="A26" s="22" t="s">
        <v>191</v>
      </c>
      <c r="B26" s="24">
        <f>(prets25!B26*(4/100))</f>
        <v>0</v>
      </c>
      <c r="C26" s="24">
        <f>(prets25!C26*(4/100))</f>
        <v>0</v>
      </c>
      <c r="D26" s="24">
        <f>(prets25!D26*(4/100))</f>
        <v>0</v>
      </c>
      <c r="E26" s="24">
        <f>(prets25!E26*(4/100))</f>
        <v>8000</v>
      </c>
      <c r="F26" s="24">
        <f>(prets25!F26*(4/100))</f>
        <v>6000</v>
      </c>
      <c r="G26" s="24">
        <f>(prets25!G26*(4/100))</f>
        <v>0</v>
      </c>
      <c r="H26" s="24">
        <f>(prets25!H26*(4/100))</f>
        <v>0</v>
      </c>
      <c r="I26" s="24">
        <f>(prets25!I26*(4/100))</f>
        <v>0</v>
      </c>
      <c r="J26" s="24">
        <f>(prets25!J26*(4/100))</f>
        <v>0</v>
      </c>
      <c r="K26" s="24">
        <f>(prets25!K26*(4/100))</f>
        <v>0</v>
      </c>
      <c r="L26" s="24">
        <f>(prets25!L26*(4/100))</f>
        <v>0</v>
      </c>
      <c r="M26" s="24">
        <f>(prets25!M26*(4/100))</f>
        <v>0</v>
      </c>
      <c r="N26" s="30">
        <f t="shared" si="0"/>
        <v>14000</v>
      </c>
    </row>
    <row r="27" spans="1:14">
      <c r="A27" s="5" t="s">
        <v>192</v>
      </c>
      <c r="B27" s="24">
        <f>(prets25!B27*(4/100))</f>
        <v>0</v>
      </c>
      <c r="C27" s="24">
        <f>(prets25!C27*(4/100))</f>
        <v>0</v>
      </c>
      <c r="D27" s="24">
        <f>(prets25!D27*(4/100))</f>
        <v>8000</v>
      </c>
      <c r="E27" s="24">
        <f>(prets25!E27*(4/100))</f>
        <v>0</v>
      </c>
      <c r="F27" s="24">
        <f>(prets25!F27*(4/100))</f>
        <v>0</v>
      </c>
      <c r="G27" s="24">
        <f>(prets25!G27*(4/100))</f>
        <v>0</v>
      </c>
      <c r="H27" s="24">
        <f>(prets25!H27*(4/100))</f>
        <v>0</v>
      </c>
      <c r="I27" s="24">
        <f>(prets25!I27*(4/100))</f>
        <v>0</v>
      </c>
      <c r="J27" s="24">
        <f>(prets25!J27*(4/100))</f>
        <v>0</v>
      </c>
      <c r="K27" s="24">
        <f>(prets25!K27*(4/100))</f>
        <v>14000</v>
      </c>
      <c r="L27" s="24">
        <f>(prets25!L27*(4/100))</f>
        <v>0</v>
      </c>
      <c r="M27" s="24">
        <f>(prets25!M27*(4/100))</f>
        <v>120</v>
      </c>
      <c r="N27" s="30">
        <f t="shared" si="0"/>
        <v>22120</v>
      </c>
    </row>
    <row r="28" spans="1:14">
      <c r="A28" s="22" t="s">
        <v>193</v>
      </c>
      <c r="B28" s="24">
        <f>(prets25!B28*(4/100))</f>
        <v>8000</v>
      </c>
      <c r="C28" s="24">
        <f>(prets25!C28*(4/100))</f>
        <v>0</v>
      </c>
      <c r="D28" s="24">
        <f>(prets25!D28*(4/100))</f>
        <v>12000</v>
      </c>
      <c r="E28" s="24">
        <f>(prets25!E28*(4/100))</f>
        <v>0</v>
      </c>
      <c r="F28" s="24">
        <f>(prets25!F28*(4/100))</f>
        <v>4000</v>
      </c>
      <c r="G28" s="24">
        <f>(prets25!G28*(4/100))</f>
        <v>0</v>
      </c>
      <c r="H28" s="24">
        <f>(prets25!H28*(4/100))</f>
        <v>0</v>
      </c>
      <c r="I28" s="24">
        <f>(prets25!I28*(4/100))</f>
        <v>0</v>
      </c>
      <c r="J28" s="24">
        <f>(prets25!J28*(4/100))</f>
        <v>0</v>
      </c>
      <c r="K28" s="24">
        <f>(prets25!K28*(4/100))</f>
        <v>0</v>
      </c>
      <c r="L28" s="24">
        <f>(prets25!L28*(4/100))</f>
        <v>0</v>
      </c>
      <c r="M28" s="24">
        <f>(prets25!M28*(4/100))</f>
        <v>0</v>
      </c>
      <c r="N28" s="30">
        <f t="shared" si="0"/>
        <v>24000</v>
      </c>
    </row>
    <row r="29" spans="1:14">
      <c r="A29" s="5" t="s">
        <v>194</v>
      </c>
      <c r="B29" s="24">
        <f>(prets25!B29*(4/100))</f>
        <v>0</v>
      </c>
      <c r="C29" s="24">
        <f>(prets25!C29*(4/100))</f>
        <v>0</v>
      </c>
      <c r="D29" s="24">
        <f>(prets25!D29*(4/100))</f>
        <v>0</v>
      </c>
      <c r="E29" s="24">
        <f>(prets25!E29*(4/100))</f>
        <v>0</v>
      </c>
      <c r="F29" s="24">
        <f>(prets25!F29*(4/100))</f>
        <v>0</v>
      </c>
      <c r="G29" s="24">
        <f>(prets25!G29*(4/100))</f>
        <v>0</v>
      </c>
      <c r="H29" s="24">
        <f>(prets25!H29*(4/100))</f>
        <v>0</v>
      </c>
      <c r="I29" s="24">
        <f>(prets25!I29*(4/100))</f>
        <v>0</v>
      </c>
      <c r="J29" s="24">
        <f>(prets25!J29*(4/100))</f>
        <v>0</v>
      </c>
      <c r="K29" s="24">
        <f>(prets25!K29*(4/100))</f>
        <v>0</v>
      </c>
      <c r="L29" s="24">
        <f>(prets25!L29*(4/100))</f>
        <v>0</v>
      </c>
      <c r="M29" s="24">
        <f>(prets25!M29*(4/100))</f>
        <v>0</v>
      </c>
      <c r="N29" s="30">
        <f t="shared" si="0"/>
        <v>0</v>
      </c>
    </row>
    <row r="30" spans="1:14">
      <c r="A30" s="22" t="s">
        <v>195</v>
      </c>
      <c r="B30" s="24">
        <f>(prets25!B30*(4/100))</f>
        <v>0</v>
      </c>
      <c r="C30" s="24">
        <f>(prets25!C30*(4/100))</f>
        <v>0</v>
      </c>
      <c r="D30" s="24">
        <f>(prets25!D30*(4/100))</f>
        <v>0</v>
      </c>
      <c r="E30" s="24">
        <f>(prets25!E30*(4/100))</f>
        <v>0</v>
      </c>
      <c r="F30" s="24">
        <f>(prets25!F30*(4/100))</f>
        <v>2000</v>
      </c>
      <c r="G30" s="24">
        <f>(prets25!G30*(4/100))</f>
        <v>0</v>
      </c>
      <c r="H30" s="24">
        <f>(prets25!H30*(4/100))</f>
        <v>0</v>
      </c>
      <c r="I30" s="24">
        <f>(prets25!I30*(4/100))</f>
        <v>0</v>
      </c>
      <c r="J30" s="24">
        <f>(prets25!J30*(4/100))</f>
        <v>4000</v>
      </c>
      <c r="K30" s="24">
        <f>(prets25!K30*(4/100))</f>
        <v>0</v>
      </c>
      <c r="L30" s="24">
        <f>(prets25!L30*(4/100))</f>
        <v>0</v>
      </c>
      <c r="M30" s="24">
        <f>(prets25!M30*(4/100))</f>
        <v>0</v>
      </c>
      <c r="N30" s="30">
        <f t="shared" si="0"/>
        <v>6000</v>
      </c>
    </row>
    <row r="31" spans="1:14">
      <c r="A31" s="5" t="s">
        <v>196</v>
      </c>
      <c r="B31" s="24">
        <f>(prets25!B31*(4/100))</f>
        <v>0</v>
      </c>
      <c r="C31" s="24">
        <f>(prets25!C31*(4/100))</f>
        <v>0</v>
      </c>
      <c r="D31" s="24">
        <f>(prets25!D31*(4/100))</f>
        <v>0</v>
      </c>
      <c r="E31" s="24">
        <f>(prets25!E31*(4/100))</f>
        <v>0</v>
      </c>
      <c r="F31" s="24">
        <f>(prets25!F31*(4/100))</f>
        <v>0</v>
      </c>
      <c r="G31" s="24">
        <f>(prets25!G31*(4/100))</f>
        <v>0</v>
      </c>
      <c r="H31" s="24">
        <f>(prets25!H31*(4/100))</f>
        <v>0</v>
      </c>
      <c r="I31" s="24">
        <f>(prets25!I31*(4/100))</f>
        <v>0</v>
      </c>
      <c r="J31" s="24">
        <f>(prets25!J31*(4/100))</f>
        <v>0</v>
      </c>
      <c r="K31" s="24">
        <f>(prets25!K31*(4/100))</f>
        <v>0</v>
      </c>
      <c r="L31" s="24">
        <f>(prets25!L31*(4/100))</f>
        <v>0</v>
      </c>
      <c r="M31" s="24">
        <f>(prets25!M31*(4/100))</f>
        <v>0</v>
      </c>
      <c r="N31" s="30">
        <f t="shared" si="0"/>
        <v>0</v>
      </c>
    </row>
    <row r="32" spans="1:14">
      <c r="A32" s="22" t="s">
        <v>86</v>
      </c>
      <c r="B32" s="24">
        <f>(prets25!B32*(4/100))</f>
        <v>0</v>
      </c>
      <c r="C32" s="24">
        <f>(prets25!C32*(4/100))</f>
        <v>0</v>
      </c>
      <c r="D32" s="24">
        <f>(prets25!D32*(4/100))</f>
        <v>8000</v>
      </c>
      <c r="E32" s="24">
        <f>(prets25!E32*(4/100))</f>
        <v>0</v>
      </c>
      <c r="F32" s="24">
        <f>(prets25!F32*(4/100))</f>
        <v>0</v>
      </c>
      <c r="G32" s="24">
        <f>(prets25!G32*(4/100))</f>
        <v>14000</v>
      </c>
      <c r="H32" s="24">
        <f>(prets25!H32*(4/100))</f>
        <v>0</v>
      </c>
      <c r="I32" s="24">
        <f>(prets25!I32*(4/100))</f>
        <v>0</v>
      </c>
      <c r="J32" s="24">
        <f>(prets25!J32*(4/100))</f>
        <v>0</v>
      </c>
      <c r="K32" s="24">
        <f>(prets25!K32*(4/100))</f>
        <v>12000</v>
      </c>
      <c r="L32" s="24">
        <f>(prets25!L32*(4/100))</f>
        <v>0</v>
      </c>
      <c r="M32" s="24">
        <f>(prets25!M32*(4/100))</f>
        <v>0</v>
      </c>
      <c r="N32" s="30">
        <f t="shared" si="0"/>
        <v>34000</v>
      </c>
    </row>
    <row r="33" spans="1:14">
      <c r="A33" s="5" t="s">
        <v>197</v>
      </c>
      <c r="B33" s="24">
        <f>(prets25!B33*(4/100))</f>
        <v>4000</v>
      </c>
      <c r="C33" s="24">
        <f>(prets25!C33*(4/100))</f>
        <v>0</v>
      </c>
      <c r="D33" s="24">
        <f>(prets25!D33*(4/100))</f>
        <v>0</v>
      </c>
      <c r="E33" s="24">
        <f>(prets25!E33*(4/100))</f>
        <v>0</v>
      </c>
      <c r="F33" s="24">
        <f>(prets25!F33*(4/100))</f>
        <v>16000</v>
      </c>
      <c r="G33" s="24">
        <f>(prets25!G33*(4/100))</f>
        <v>0</v>
      </c>
      <c r="H33" s="24">
        <f>(prets25!H33*(4/100))</f>
        <v>12000</v>
      </c>
      <c r="I33" s="24">
        <f>(prets25!I33*(4/100))</f>
        <v>0</v>
      </c>
      <c r="J33" s="24">
        <f>(prets25!J33*(4/100))</f>
        <v>16000</v>
      </c>
      <c r="K33" s="24">
        <f>(prets25!K33*(4/100))</f>
        <v>0</v>
      </c>
      <c r="L33" s="24">
        <f>(prets25!L33*(4/100))</f>
        <v>0</v>
      </c>
      <c r="M33" s="24">
        <f>(prets25!M33*(4/100))</f>
        <v>0</v>
      </c>
      <c r="N33" s="30">
        <f t="shared" si="0"/>
        <v>48000</v>
      </c>
    </row>
    <row r="34" spans="1:14">
      <c r="A34" s="23" t="s">
        <v>55</v>
      </c>
      <c r="B34" s="2">
        <f t="shared" ref="B34:N34" si="1">+SUM(B2:B33)</f>
        <v>38000</v>
      </c>
      <c r="C34" s="2">
        <f t="shared" si="1"/>
        <v>19680</v>
      </c>
      <c r="D34" s="2">
        <f t="shared" si="1"/>
        <v>106800</v>
      </c>
      <c r="E34" s="2">
        <f t="shared" si="1"/>
        <v>51200</v>
      </c>
      <c r="F34" s="2">
        <f t="shared" si="1"/>
        <v>42000</v>
      </c>
      <c r="G34" s="2">
        <f t="shared" si="1"/>
        <v>44120</v>
      </c>
      <c r="H34" s="2">
        <f t="shared" si="1"/>
        <v>38000</v>
      </c>
      <c r="I34" s="2">
        <f t="shared" si="1"/>
        <v>40120</v>
      </c>
      <c r="J34" s="2">
        <f t="shared" si="1"/>
        <v>68000</v>
      </c>
      <c r="K34" s="2">
        <f t="shared" si="1"/>
        <v>34000</v>
      </c>
      <c r="L34" s="2">
        <f t="shared" si="1"/>
        <v>28000</v>
      </c>
      <c r="M34" s="2">
        <f t="shared" si="1"/>
        <v>120</v>
      </c>
      <c r="N34" s="2">
        <f t="shared" si="1"/>
        <v>510040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zoomScaleNormal="100" workbookViewId="0">
      <selection activeCell="O1" sqref="O1"/>
    </sheetView>
  </sheetViews>
  <sheetFormatPr baseColWidth="10" defaultRowHeight="15"/>
  <cols>
    <col min="1" max="1" width="23.5703125" customWidth="1"/>
  </cols>
  <sheetData>
    <row r="1" spans="1:14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3" t="s">
        <v>55</v>
      </c>
    </row>
    <row r="2" spans="1:14">
      <c r="A2" s="5" t="s">
        <v>167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>
        <f>+SUM(B2:M2)</f>
        <v>0</v>
      </c>
    </row>
    <row r="3" spans="1:14">
      <c r="A3" s="5" t="s">
        <v>168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>
        <f t="shared" ref="N3:N20" si="0">+SUM(B3:M3)</f>
        <v>0</v>
      </c>
    </row>
    <row r="4" spans="1:14">
      <c r="A4" s="5" t="s">
        <v>169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>
        <f t="shared" si="0"/>
        <v>0</v>
      </c>
    </row>
    <row r="5" spans="1:14">
      <c r="A5" s="5" t="s">
        <v>170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>
        <f t="shared" si="0"/>
        <v>0</v>
      </c>
    </row>
    <row r="6" spans="1:14">
      <c r="A6" s="5" t="s">
        <v>171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>
        <f t="shared" si="0"/>
        <v>0</v>
      </c>
    </row>
    <row r="7" spans="1:14">
      <c r="A7" s="5" t="s">
        <v>172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>
        <f t="shared" si="0"/>
        <v>0</v>
      </c>
    </row>
    <row r="8" spans="1:14">
      <c r="A8" s="5" t="s">
        <v>173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>
        <f t="shared" si="0"/>
        <v>0</v>
      </c>
    </row>
    <row r="9" spans="1:14">
      <c r="A9" s="5" t="s">
        <v>174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>
        <f t="shared" si="0"/>
        <v>0</v>
      </c>
    </row>
    <row r="10" spans="1:14">
      <c r="A10" s="5" t="s">
        <v>175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">
        <f t="shared" si="0"/>
        <v>0</v>
      </c>
    </row>
    <row r="11" spans="1:14">
      <c r="A11" s="5" t="s">
        <v>176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3">
        <f t="shared" si="0"/>
        <v>0</v>
      </c>
    </row>
    <row r="12" spans="1:14">
      <c r="A12" s="5" t="s">
        <v>177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3">
        <f t="shared" si="0"/>
        <v>0</v>
      </c>
    </row>
    <row r="13" spans="1:14">
      <c r="A13" s="5" t="s">
        <v>178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>
        <f t="shared" si="0"/>
        <v>0</v>
      </c>
    </row>
    <row r="14" spans="1:14">
      <c r="A14" s="5" t="s">
        <v>179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>
        <f t="shared" si="0"/>
        <v>0</v>
      </c>
    </row>
    <row r="15" spans="1:14">
      <c r="A15" s="5" t="s">
        <v>180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">
        <f t="shared" si="0"/>
        <v>0</v>
      </c>
    </row>
    <row r="16" spans="1:14">
      <c r="A16" s="5" t="s">
        <v>181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">
        <f t="shared" si="0"/>
        <v>0</v>
      </c>
    </row>
    <row r="17" spans="1:14">
      <c r="A17" s="5" t="s">
        <v>182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">
        <f t="shared" si="0"/>
        <v>0</v>
      </c>
    </row>
    <row r="18" spans="1:14">
      <c r="A18" s="5" t="s">
        <v>183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">
        <f t="shared" si="0"/>
        <v>0</v>
      </c>
    </row>
    <row r="19" spans="1:14">
      <c r="A19" s="5" t="s">
        <v>184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">
        <f t="shared" si="0"/>
        <v>0</v>
      </c>
    </row>
    <row r="20" spans="1:14">
      <c r="A20" s="5" t="s">
        <v>185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">
        <f t="shared" si="0"/>
        <v>0</v>
      </c>
    </row>
    <row r="21" spans="1:14">
      <c r="A21" s="5" t="s">
        <v>186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>
        <f t="shared" ref="N21:N34" si="1">+SUM(B21:M21)</f>
        <v>0</v>
      </c>
    </row>
    <row r="22" spans="1:14">
      <c r="A22" s="5" t="s">
        <v>187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">
        <f t="shared" si="1"/>
        <v>0</v>
      </c>
    </row>
    <row r="23" spans="1:14">
      <c r="A23" s="5" t="s">
        <v>188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>
        <f t="shared" si="1"/>
        <v>0</v>
      </c>
    </row>
    <row r="24" spans="1:14">
      <c r="A24" s="5" t="s">
        <v>189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">
        <f t="shared" si="1"/>
        <v>0</v>
      </c>
    </row>
    <row r="25" spans="1:14">
      <c r="A25" s="5" t="s">
        <v>190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">
        <f t="shared" si="1"/>
        <v>0</v>
      </c>
    </row>
    <row r="26" spans="1:14">
      <c r="A26" s="5" t="s">
        <v>191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">
        <f t="shared" si="1"/>
        <v>0</v>
      </c>
    </row>
    <row r="27" spans="1:14">
      <c r="A27" s="5" t="s">
        <v>192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">
        <f t="shared" si="1"/>
        <v>0</v>
      </c>
    </row>
    <row r="28" spans="1:14">
      <c r="A28" s="5" t="s">
        <v>193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>
        <f t="shared" si="1"/>
        <v>0</v>
      </c>
    </row>
    <row r="29" spans="1:14">
      <c r="A29" s="5" t="s">
        <v>194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">
        <f t="shared" si="1"/>
        <v>0</v>
      </c>
    </row>
    <row r="30" spans="1:14">
      <c r="A30" s="5" t="s">
        <v>195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">
        <f t="shared" si="1"/>
        <v>0</v>
      </c>
    </row>
    <row r="31" spans="1:14">
      <c r="A31" s="5" t="s">
        <v>196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">
        <f t="shared" si="1"/>
        <v>0</v>
      </c>
    </row>
    <row r="32" spans="1:14">
      <c r="A32" s="5" t="s">
        <v>86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">
        <f t="shared" si="1"/>
        <v>0</v>
      </c>
    </row>
    <row r="33" spans="1:14">
      <c r="A33" s="16" t="s">
        <v>197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">
        <f t="shared" si="1"/>
        <v>0</v>
      </c>
    </row>
    <row r="34" spans="1:14" s="21" customFormat="1">
      <c r="A34" s="20" t="s">
        <v>43</v>
      </c>
      <c r="B34" s="20">
        <f t="shared" ref="B34:M34" si="2">+SUM(B2:B33)</f>
        <v>0</v>
      </c>
      <c r="C34" s="20">
        <f t="shared" si="2"/>
        <v>0</v>
      </c>
      <c r="D34" s="21">
        <f t="shared" si="2"/>
        <v>0</v>
      </c>
      <c r="E34" s="20">
        <f t="shared" si="2"/>
        <v>0</v>
      </c>
      <c r="F34" s="20">
        <f t="shared" si="2"/>
        <v>0</v>
      </c>
      <c r="G34" s="20">
        <f t="shared" si="2"/>
        <v>0</v>
      </c>
      <c r="H34" s="20">
        <f t="shared" si="2"/>
        <v>0</v>
      </c>
      <c r="I34" s="20">
        <f t="shared" si="2"/>
        <v>0</v>
      </c>
      <c r="J34" s="20">
        <f t="shared" si="2"/>
        <v>0</v>
      </c>
      <c r="K34" s="20">
        <f t="shared" si="2"/>
        <v>0</v>
      </c>
      <c r="L34" s="20">
        <f t="shared" si="2"/>
        <v>0</v>
      </c>
      <c r="M34" s="20">
        <f t="shared" si="2"/>
        <v>0</v>
      </c>
      <c r="N34" s="19">
        <f t="shared" si="1"/>
        <v>0</v>
      </c>
    </row>
  </sheetData>
  <conditionalFormatting sqref="A34:XFD3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{D20668D0-064F-4F17-BE23-CF27459733B3}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0668D0-064F-4F17-BE23-CF27459733B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A34:XFD34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H11" sqref="H11"/>
    </sheetView>
  </sheetViews>
  <sheetFormatPr baseColWidth="10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9"/>
  <sheetViews>
    <sheetView zoomScaleNormal="100" workbookViewId="0">
      <pane xSplit="1" topLeftCell="B1" activePane="topRight" state="frozen"/>
      <selection pane="topRight" activeCell="C7" sqref="C7"/>
    </sheetView>
  </sheetViews>
  <sheetFormatPr baseColWidth="10" defaultRowHeight="15"/>
  <cols>
    <col min="1" max="1" width="22.5703125" style="5" customWidth="1"/>
    <col min="2" max="3" width="13.85546875" style="5" customWidth="1"/>
    <col min="4" max="23" width="11.42578125" style="5"/>
    <col min="24" max="24" width="12" style="5" customWidth="1"/>
    <col min="25" max="37" width="11.42578125" style="5"/>
    <col min="38" max="38" width="12.28515625" style="5" customWidth="1"/>
    <col min="39" max="16384" width="11.42578125" style="5"/>
  </cols>
  <sheetData>
    <row r="1" spans="1:40">
      <c r="A1" s="4" t="s">
        <v>0</v>
      </c>
      <c r="B1" s="28" t="s">
        <v>95</v>
      </c>
      <c r="C1" s="4" t="s">
        <v>164</v>
      </c>
      <c r="D1" s="29" t="s">
        <v>134</v>
      </c>
      <c r="E1" s="28" t="s">
        <v>96</v>
      </c>
      <c r="F1" s="4" t="s">
        <v>163</v>
      </c>
      <c r="G1" s="29" t="s">
        <v>135</v>
      </c>
      <c r="H1" s="28" t="s">
        <v>139</v>
      </c>
      <c r="I1" s="4" t="s">
        <v>100</v>
      </c>
      <c r="J1" s="29" t="s">
        <v>136</v>
      </c>
      <c r="K1" s="28" t="s">
        <v>101</v>
      </c>
      <c r="L1" s="4" t="s">
        <v>102</v>
      </c>
      <c r="M1" s="29" t="s">
        <v>137</v>
      </c>
      <c r="N1" s="28" t="s">
        <v>138</v>
      </c>
      <c r="O1" s="4" t="s">
        <v>140</v>
      </c>
      <c r="P1" s="29" t="s">
        <v>141</v>
      </c>
      <c r="Q1" s="28" t="s">
        <v>142</v>
      </c>
      <c r="R1" s="4" t="s">
        <v>143</v>
      </c>
      <c r="S1" s="29" t="s">
        <v>144</v>
      </c>
      <c r="T1" s="28" t="s">
        <v>145</v>
      </c>
      <c r="U1" s="4" t="s">
        <v>146</v>
      </c>
      <c r="V1" s="29" t="s">
        <v>147</v>
      </c>
      <c r="W1" s="28" t="s">
        <v>148</v>
      </c>
      <c r="X1" s="4" t="s">
        <v>149</v>
      </c>
      <c r="Y1" s="29" t="s">
        <v>150</v>
      </c>
      <c r="Z1" s="28" t="s">
        <v>151</v>
      </c>
      <c r="AA1" s="4" t="s">
        <v>152</v>
      </c>
      <c r="AB1" s="29" t="s">
        <v>153</v>
      </c>
      <c r="AC1" s="28" t="s">
        <v>154</v>
      </c>
      <c r="AD1" s="4" t="s">
        <v>155</v>
      </c>
      <c r="AE1" s="29" t="s">
        <v>156</v>
      </c>
      <c r="AF1" s="28" t="s">
        <v>157</v>
      </c>
      <c r="AG1" s="4" t="s">
        <v>158</v>
      </c>
      <c r="AH1" s="29" t="s">
        <v>159</v>
      </c>
      <c r="AI1" s="28" t="s">
        <v>160</v>
      </c>
      <c r="AJ1" s="4" t="s">
        <v>161</v>
      </c>
      <c r="AK1" s="29" t="s">
        <v>162</v>
      </c>
      <c r="AL1" s="4" t="s">
        <v>21</v>
      </c>
      <c r="AM1" s="4" t="s">
        <v>22</v>
      </c>
      <c r="AN1" s="4" t="s">
        <v>23</v>
      </c>
    </row>
    <row r="2" spans="1:40">
      <c r="A2" s="22" t="s">
        <v>167</v>
      </c>
      <c r="B2" s="5">
        <f>((prets!B2)*(4/100))</f>
        <v>0</v>
      </c>
      <c r="C2" s="5">
        <f>((PretsNet!D2)*(4/100))</f>
        <v>0</v>
      </c>
      <c r="D2" s="5">
        <f>+B2+C2</f>
        <v>0</v>
      </c>
      <c r="E2" s="5">
        <f>((prets!C2)*(4/100))</f>
        <v>0</v>
      </c>
      <c r="F2" s="5">
        <f>((PretsNet!D2)*(4/100))</f>
        <v>0</v>
      </c>
      <c r="G2" s="5">
        <f>+E2+F2</f>
        <v>0</v>
      </c>
      <c r="H2" s="5">
        <f>((prets!D2)*(4/100))</f>
        <v>0</v>
      </c>
      <c r="I2" s="5" t="e">
        <f>((PretsNet!J2)*(4/100))</f>
        <v>#REF!</v>
      </c>
      <c r="J2" s="5" t="e">
        <f>+H2+I2</f>
        <v>#REF!</v>
      </c>
      <c r="K2" s="5">
        <f>((prets!E2)*(4/100))</f>
        <v>16000</v>
      </c>
      <c r="L2" s="5" t="e">
        <f>((PretsNet!M2)*(4/100))</f>
        <v>#REF!</v>
      </c>
      <c r="M2" s="5" t="e">
        <f>+K2+L2</f>
        <v>#REF!</v>
      </c>
      <c r="N2" s="5">
        <f>((prets!F2)*(4/100))</f>
        <v>16000</v>
      </c>
      <c r="O2" s="5" t="e">
        <f>((PretsNet!P2)*(4/100))</f>
        <v>#REF!</v>
      </c>
      <c r="P2" s="5" t="e">
        <f>+N2+O2</f>
        <v>#REF!</v>
      </c>
      <c r="Q2" s="5">
        <f>((prets!G2)*(4/100))</f>
        <v>16000</v>
      </c>
      <c r="R2" s="5" t="e">
        <f>((PretsNet!S2)*(4/100))</f>
        <v>#REF!</v>
      </c>
      <c r="S2" s="5" t="e">
        <f>+Q2+R2</f>
        <v>#REF!</v>
      </c>
      <c r="T2" s="5">
        <f>((prets!H2)*(4/100))</f>
        <v>16000</v>
      </c>
      <c r="U2" s="5" t="e">
        <f>((PretsNet!V2)*(4/100))</f>
        <v>#REF!</v>
      </c>
      <c r="V2" s="5" t="e">
        <f>+T2+U2</f>
        <v>#REF!</v>
      </c>
      <c r="W2" s="5">
        <f>((prets!I2)*(4/100))</f>
        <v>16000</v>
      </c>
      <c r="X2" s="5" t="e">
        <f>((PretsNet!Y2)*(4/100))</f>
        <v>#REF!</v>
      </c>
      <c r="Y2" s="5" t="e">
        <f>+W2+X2</f>
        <v>#REF!</v>
      </c>
      <c r="Z2" s="5">
        <f>((prets!J2)*(4/100))</f>
        <v>16000</v>
      </c>
      <c r="AA2" s="5" t="e">
        <f>((PretsNet!AB2)*(4/100))</f>
        <v>#REF!</v>
      </c>
      <c r="AB2" s="5" t="e">
        <f t="shared" ref="AB2:AB36" si="0">+Z2+AA2</f>
        <v>#REF!</v>
      </c>
      <c r="AC2" s="5">
        <f>((prets!K2)*(4/100))</f>
        <v>16000</v>
      </c>
      <c r="AD2" s="5" t="e">
        <f>((PretsNet!AE2)*(4/100))</f>
        <v>#REF!</v>
      </c>
      <c r="AE2" s="5" t="e">
        <f t="shared" ref="AE2:AE33" si="1">+AC2+AD2</f>
        <v>#REF!</v>
      </c>
      <c r="AF2" s="5">
        <f>((prets!L2)*(4/100))</f>
        <v>12000</v>
      </c>
      <c r="AG2" s="5" t="e">
        <f>((PretsNet!AH2)*(4/100))</f>
        <v>#REF!</v>
      </c>
      <c r="AH2" s="5" t="e">
        <f t="shared" ref="AH2:AH33" si="2">+AF2+AG2</f>
        <v>#REF!</v>
      </c>
      <c r="AI2" s="5">
        <f>((prets!M2)*(4/100))</f>
        <v>0</v>
      </c>
      <c r="AJ2" s="5" t="e">
        <f>((PretsNet!AK2)*(4/100))</f>
        <v>#REF!</v>
      </c>
      <c r="AK2" s="5" t="e">
        <f t="shared" ref="AK2:AK33" si="3">+AI2+AJ2</f>
        <v>#REF!</v>
      </c>
      <c r="AL2" s="25" t="e">
        <f>#REF!+#REF!+#REF!+#REF!+#REF!+O2+R2+U2+X2+AC2+AF2</f>
        <v>#REF!</v>
      </c>
      <c r="AM2" s="14" t="e">
        <f t="shared" ref="AM2:AM37" si="4">-AL2+AH2</f>
        <v>#REF!</v>
      </c>
      <c r="AN2" s="15" t="e">
        <f>Tableau47[[#This Row],[EP TOTALE]]+Tableau47[[#This Row],[INTERETS]]</f>
        <v>#REF!</v>
      </c>
    </row>
    <row r="3" spans="1:40">
      <c r="A3" s="5" t="s">
        <v>168</v>
      </c>
      <c r="B3" s="5">
        <f>((prets!B3)*(4/100))</f>
        <v>0</v>
      </c>
      <c r="C3" s="5">
        <f>((PretsNet!D3)*(4/100))</f>
        <v>0</v>
      </c>
      <c r="D3" s="5">
        <f t="shared" ref="D3:D36" si="5">+B3+C3</f>
        <v>0</v>
      </c>
      <c r="E3" s="5">
        <f>((prets!C3)*(4/100))</f>
        <v>0</v>
      </c>
      <c r="F3" s="5" t="e">
        <f>((PretsNet!G3)*(4/100))</f>
        <v>#REF!</v>
      </c>
      <c r="G3" s="5" t="e">
        <f t="shared" ref="G3:G33" si="6">+E3+F3</f>
        <v>#REF!</v>
      </c>
      <c r="H3" s="5">
        <f>((prets!D3)*(4/100))</f>
        <v>0</v>
      </c>
      <c r="I3" s="5" t="e">
        <f>((PretsNet!J3)*(4/100))</f>
        <v>#REF!</v>
      </c>
      <c r="J3" s="5" t="e">
        <f t="shared" ref="J3:J33" si="7">+H3+I3</f>
        <v>#REF!</v>
      </c>
      <c r="K3" s="5">
        <f>((prets!E3)*(4/100))</f>
        <v>0</v>
      </c>
      <c r="L3" s="5" t="e">
        <f>((PretsNet!M3)*(4/100))</f>
        <v>#REF!</v>
      </c>
      <c r="M3" s="5" t="e">
        <f t="shared" ref="M3:M34" si="8">+K3+L3</f>
        <v>#REF!</v>
      </c>
      <c r="N3" s="5">
        <f>((prets!F3)*(4/100))</f>
        <v>0</v>
      </c>
      <c r="O3" s="5" t="e">
        <f>((PretsNet!P3)*(4/100))</f>
        <v>#REF!</v>
      </c>
      <c r="P3" s="5" t="e">
        <f t="shared" ref="P3:P33" si="9">+N3+O3</f>
        <v>#REF!</v>
      </c>
      <c r="Q3" s="5">
        <f>((prets!G3)*(4/100))</f>
        <v>0</v>
      </c>
      <c r="R3" s="5" t="e">
        <f>((PretsNet!S3)*(4/100))</f>
        <v>#REF!</v>
      </c>
      <c r="S3" s="5" t="e">
        <f t="shared" ref="S3:S33" si="10">+Q3+R3</f>
        <v>#REF!</v>
      </c>
      <c r="T3" s="5">
        <f>((prets!H3)*(4/100))</f>
        <v>12000</v>
      </c>
      <c r="U3" s="5" t="e">
        <f>((PretsNet!V3)*(4/100))</f>
        <v>#REF!</v>
      </c>
      <c r="V3" s="5" t="e">
        <f t="shared" ref="V3:V33" si="11">+T3+U3</f>
        <v>#REF!</v>
      </c>
      <c r="W3" s="5">
        <f>((prets!I3)*(4/100))</f>
        <v>12000</v>
      </c>
      <c r="X3" s="5" t="e">
        <f>((PretsNet!Y3)*(4/100))</f>
        <v>#REF!</v>
      </c>
      <c r="Y3" s="5" t="e">
        <f t="shared" ref="Y3:Y33" si="12">+W3+X3</f>
        <v>#REF!</v>
      </c>
      <c r="Z3" s="5">
        <f>((prets!J3)*(4/100))</f>
        <v>12000</v>
      </c>
      <c r="AA3" s="5" t="e">
        <f>((PretsNet!AB3)*(4/100))</f>
        <v>#REF!</v>
      </c>
      <c r="AB3" s="5" t="e">
        <f t="shared" si="0"/>
        <v>#REF!</v>
      </c>
      <c r="AC3" s="5">
        <f>((prets!K3)*(4/100))</f>
        <v>12000</v>
      </c>
      <c r="AD3" s="5" t="e">
        <f>((PretsNet!AE3)*(4/100))</f>
        <v>#REF!</v>
      </c>
      <c r="AE3" s="5" t="e">
        <f t="shared" si="1"/>
        <v>#REF!</v>
      </c>
      <c r="AF3" s="5">
        <f>((prets!L3)*(4/100))</f>
        <v>12000</v>
      </c>
      <c r="AG3" s="5" t="e">
        <f>((PretsNet!AH3)*(4/100))</f>
        <v>#REF!</v>
      </c>
      <c r="AH3" s="5" t="e">
        <f t="shared" si="2"/>
        <v>#REF!</v>
      </c>
      <c r="AI3" s="5">
        <f>((prets!M3)*(4/100))</f>
        <v>0</v>
      </c>
      <c r="AJ3" s="5">
        <f>((PretsNet!AK3)*(4/100))</f>
        <v>0</v>
      </c>
      <c r="AK3" s="5">
        <f t="shared" si="3"/>
        <v>0</v>
      </c>
      <c r="AL3" s="25" t="e">
        <f>#REF!+#REF!+#REF!+#REF!+#REF!+O3+R3+U3+X3+AC3+AF3</f>
        <v>#REF!</v>
      </c>
      <c r="AM3" s="14" t="e">
        <f t="shared" si="4"/>
        <v>#REF!</v>
      </c>
      <c r="AN3" s="15" t="e">
        <f>Tableau47[[#This Row],[EP TOTALE]]+Tableau47[[#This Row],[INTERETS]]</f>
        <v>#REF!</v>
      </c>
    </row>
    <row r="4" spans="1:40">
      <c r="A4" s="22" t="s">
        <v>169</v>
      </c>
      <c r="B4" s="5">
        <f>((prets!B4)*(4/100))</f>
        <v>0</v>
      </c>
      <c r="C4" s="5">
        <f>((PretsNet!D4)*(4/100))</f>
        <v>0</v>
      </c>
      <c r="D4" s="5">
        <f t="shared" si="5"/>
        <v>0</v>
      </c>
      <c r="E4" s="5">
        <f>((prets!C23)*(4/100))</f>
        <v>0</v>
      </c>
      <c r="F4" s="5">
        <f>((PretsNet!G4)*(4/100))</f>
        <v>0</v>
      </c>
      <c r="G4" s="5">
        <f t="shared" si="6"/>
        <v>0</v>
      </c>
      <c r="H4" s="5">
        <f>((prets!D23)*(4/100))</f>
        <v>0</v>
      </c>
      <c r="I4" s="5">
        <f>((PretsNet!J4)*(4/100))</f>
        <v>0</v>
      </c>
      <c r="J4" s="5">
        <f t="shared" si="7"/>
        <v>0</v>
      </c>
      <c r="K4" s="5">
        <f>((prets!E23)*(4/100))</f>
        <v>0</v>
      </c>
      <c r="L4" s="5">
        <f>((PretsNet!M4)*(4/100))</f>
        <v>0</v>
      </c>
      <c r="M4" s="5">
        <f t="shared" si="8"/>
        <v>0</v>
      </c>
      <c r="N4" s="5">
        <f>((prets!F23)*(4/100))</f>
        <v>0</v>
      </c>
      <c r="O4" s="5">
        <f>((PretsNet!P4)*(4/100))</f>
        <v>0</v>
      </c>
      <c r="P4" s="5">
        <f t="shared" si="9"/>
        <v>0</v>
      </c>
      <c r="Q4" s="5">
        <f>((prets!G23)*(4/100))</f>
        <v>0</v>
      </c>
      <c r="R4" s="5">
        <f>((PretsNet!S4)*(4/100))</f>
        <v>0</v>
      </c>
      <c r="S4" s="5">
        <f t="shared" si="10"/>
        <v>0</v>
      </c>
      <c r="T4" s="5">
        <f>((prets!H23)*(4/100))</f>
        <v>0</v>
      </c>
      <c r="U4" s="5">
        <f>((PretsNet!V4)*(4/100))</f>
        <v>0</v>
      </c>
      <c r="V4" s="5">
        <f t="shared" si="11"/>
        <v>0</v>
      </c>
      <c r="W4" s="5">
        <f>((prets!I23)*(4/100))</f>
        <v>0</v>
      </c>
      <c r="X4" s="5">
        <f>((PretsNet!Y4)*(4/100))</f>
        <v>0</v>
      </c>
      <c r="Y4" s="5">
        <f t="shared" si="12"/>
        <v>0</v>
      </c>
      <c r="Z4" s="5">
        <f>((prets!J23)*(4/100))</f>
        <v>0</v>
      </c>
      <c r="AA4" s="5">
        <f>((PretsNet!AB4)*(4/100))</f>
        <v>0</v>
      </c>
      <c r="AB4" s="5">
        <f t="shared" si="0"/>
        <v>0</v>
      </c>
      <c r="AC4" s="5">
        <f>((prets!K23)*(4/100))</f>
        <v>0</v>
      </c>
      <c r="AD4" s="5">
        <f>((PretsNet!AE4)*(4/100))</f>
        <v>0</v>
      </c>
      <c r="AE4" s="5">
        <f t="shared" si="1"/>
        <v>0</v>
      </c>
      <c r="AF4" s="5">
        <f>((prets!L23)*(4/100))</f>
        <v>0</v>
      </c>
      <c r="AG4" s="5">
        <f>((PretsNet!AH4)*(4/100))</f>
        <v>0</v>
      </c>
      <c r="AH4" s="5">
        <f t="shared" si="2"/>
        <v>0</v>
      </c>
      <c r="AI4" s="5">
        <f>((prets!M23)*(4/100))</f>
        <v>0</v>
      </c>
      <c r="AJ4" s="5">
        <f>((PretsNet!AK4)*(4/100))</f>
        <v>0</v>
      </c>
      <c r="AK4" s="5">
        <f t="shared" si="3"/>
        <v>0</v>
      </c>
      <c r="AL4" s="25" t="e">
        <f>#REF!+#REF!+#REF!+#REF!+#REF!+O4+R4+U4+X4+AC4+AF4</f>
        <v>#REF!</v>
      </c>
      <c r="AM4" s="14" t="e">
        <f t="shared" si="4"/>
        <v>#REF!</v>
      </c>
      <c r="AN4" s="15" t="e">
        <f>Tableau47[[#This Row],[EP TOTALE]]+Tableau47[[#This Row],[INTERETS]]</f>
        <v>#REF!</v>
      </c>
    </row>
    <row r="5" spans="1:40">
      <c r="A5" s="5" t="s">
        <v>170</v>
      </c>
      <c r="B5" s="5">
        <f>((prets!B5)*(4/100))</f>
        <v>0</v>
      </c>
      <c r="C5" s="5">
        <f>((PretsNet!D5)*(4/100))</f>
        <v>0</v>
      </c>
      <c r="D5" s="5">
        <f t="shared" si="5"/>
        <v>0</v>
      </c>
      <c r="E5" s="5">
        <f>((prets!C24)*(4/100))</f>
        <v>10000</v>
      </c>
      <c r="F5" s="5" t="e">
        <f>((PretsNet!G5)*(4/100))</f>
        <v>#REF!</v>
      </c>
      <c r="G5" s="5" t="e">
        <f t="shared" si="6"/>
        <v>#REF!</v>
      </c>
      <c r="H5" s="5">
        <f>((prets!D24)*(4/100))</f>
        <v>14000</v>
      </c>
      <c r="I5" s="5" t="e">
        <f>((PretsNet!J5)*(4/100))</f>
        <v>#REF!</v>
      </c>
      <c r="J5" s="5" t="e">
        <f t="shared" si="7"/>
        <v>#REF!</v>
      </c>
      <c r="K5" s="5">
        <f>((prets!E24)*(4/100))</f>
        <v>14000</v>
      </c>
      <c r="L5" s="5" t="e">
        <f>((PretsNet!M5)*(4/100))</f>
        <v>#REF!</v>
      </c>
      <c r="M5" s="5" t="e">
        <f t="shared" si="8"/>
        <v>#REF!</v>
      </c>
      <c r="N5" s="5">
        <f>((prets!F24)*(4/100))</f>
        <v>14000</v>
      </c>
      <c r="O5" s="5" t="e">
        <f>((PretsNet!P5)*(4/100))</f>
        <v>#REF!</v>
      </c>
      <c r="P5" s="5" t="e">
        <f t="shared" si="9"/>
        <v>#REF!</v>
      </c>
      <c r="Q5" s="5">
        <f>((prets!G24)*(4/100))</f>
        <v>18000</v>
      </c>
      <c r="R5" s="5" t="e">
        <f>((PretsNet!S5)*(4/100))</f>
        <v>#REF!</v>
      </c>
      <c r="S5" s="5" t="e">
        <f t="shared" si="10"/>
        <v>#REF!</v>
      </c>
      <c r="T5" s="5">
        <f>((prets!H24)*(4/100))</f>
        <v>18000</v>
      </c>
      <c r="U5" s="5" t="e">
        <f>((PretsNet!V5)*(4/100))</f>
        <v>#REF!</v>
      </c>
      <c r="V5" s="5" t="e">
        <f t="shared" si="11"/>
        <v>#REF!</v>
      </c>
      <c r="W5" s="5">
        <f>((prets!I24)*(4/100))</f>
        <v>4120</v>
      </c>
      <c r="X5" s="5" t="e">
        <f>((PretsNet!Y5)*(4/100))</f>
        <v>#REF!</v>
      </c>
      <c r="Y5" s="5" t="e">
        <f t="shared" si="12"/>
        <v>#REF!</v>
      </c>
      <c r="Z5" s="5">
        <f>((prets!J24)*(4/100))</f>
        <v>8000</v>
      </c>
      <c r="AA5" s="5" t="e">
        <f>((PretsNet!AB5)*(4/100))</f>
        <v>#REF!</v>
      </c>
      <c r="AB5" s="5" t="e">
        <f t="shared" si="0"/>
        <v>#REF!</v>
      </c>
      <c r="AC5" s="5">
        <f>((prets!K24)*(4/100))</f>
        <v>0</v>
      </c>
      <c r="AD5" s="5" t="e">
        <f>((PretsNet!AE5)*(4/100))</f>
        <v>#REF!</v>
      </c>
      <c r="AE5" s="5" t="e">
        <f t="shared" si="1"/>
        <v>#REF!</v>
      </c>
      <c r="AF5" s="5">
        <f>((prets!L24)*(4/100))</f>
        <v>0</v>
      </c>
      <c r="AG5" s="5" t="e">
        <f>((PretsNet!AH5)*(4/100))</f>
        <v>#REF!</v>
      </c>
      <c r="AH5" s="5" t="e">
        <f t="shared" si="2"/>
        <v>#REF!</v>
      </c>
      <c r="AI5" s="5">
        <f>((prets!M24)*(4/100))</f>
        <v>0</v>
      </c>
      <c r="AJ5" s="5" t="e">
        <f>((PretsNet!AK5)*(4/100))</f>
        <v>#REF!</v>
      </c>
      <c r="AK5" s="5" t="e">
        <f t="shared" si="3"/>
        <v>#REF!</v>
      </c>
      <c r="AL5" s="25" t="e">
        <f>#REF!+#REF!+#REF!+#REF!+#REF!+O5+R5+U5+X5+AC5+AF5</f>
        <v>#REF!</v>
      </c>
      <c r="AM5" s="14" t="e">
        <f t="shared" si="4"/>
        <v>#REF!</v>
      </c>
      <c r="AN5" s="15" t="e">
        <f>Tableau47[[#This Row],[EP TOTALE]]+Tableau47[[#This Row],[INTERETS]]</f>
        <v>#REF!</v>
      </c>
    </row>
    <row r="6" spans="1:40">
      <c r="A6" s="22" t="s">
        <v>171</v>
      </c>
      <c r="B6" s="5">
        <f>((prets!B6)*(4/100))</f>
        <v>0</v>
      </c>
      <c r="C6" s="5">
        <f>((PretsNet!D6)*(4/100))</f>
        <v>0</v>
      </c>
      <c r="D6" s="5">
        <f t="shared" si="5"/>
        <v>0</v>
      </c>
      <c r="E6" s="5">
        <f>((prets!C25)*(4/100))</f>
        <v>0</v>
      </c>
      <c r="F6" s="5" t="e">
        <f>((PretsNet!G6)*(4/100))</f>
        <v>#REF!</v>
      </c>
      <c r="G6" s="5" t="e">
        <f t="shared" si="6"/>
        <v>#REF!</v>
      </c>
      <c r="H6" s="5">
        <f>((prets!D25)*(4/100))</f>
        <v>0</v>
      </c>
      <c r="I6" s="5" t="e">
        <f>((PretsNet!J6)*(4/100))</f>
        <v>#REF!</v>
      </c>
      <c r="J6" s="5" t="e">
        <f t="shared" si="7"/>
        <v>#REF!</v>
      </c>
      <c r="K6" s="5">
        <f>((prets!E25)*(4/100))</f>
        <v>0</v>
      </c>
      <c r="L6" s="5" t="e">
        <f>((PretsNet!M6)*(4/100))</f>
        <v>#REF!</v>
      </c>
      <c r="M6" s="5" t="e">
        <f t="shared" si="8"/>
        <v>#REF!</v>
      </c>
      <c r="N6" s="5">
        <f>((prets!F25)*(4/100))</f>
        <v>0</v>
      </c>
      <c r="O6" s="5" t="e">
        <f>((PretsNet!P6)*(4/100))</f>
        <v>#REF!</v>
      </c>
      <c r="P6" s="5" t="e">
        <f t="shared" si="9"/>
        <v>#REF!</v>
      </c>
      <c r="Q6" s="5">
        <f>((prets!G25)*(4/100))</f>
        <v>2000</v>
      </c>
      <c r="R6" s="5" t="e">
        <f>((PretsNet!S6)*(4/100))</f>
        <v>#REF!</v>
      </c>
      <c r="S6" s="5" t="e">
        <f t="shared" si="10"/>
        <v>#REF!</v>
      </c>
      <c r="T6" s="5">
        <f>((prets!H25)*(4/100))</f>
        <v>2000</v>
      </c>
      <c r="U6" s="5" t="e">
        <f>((PretsNet!V6)*(4/100))</f>
        <v>#REF!</v>
      </c>
      <c r="V6" s="5" t="e">
        <f t="shared" si="11"/>
        <v>#REF!</v>
      </c>
      <c r="W6" s="5">
        <f>((prets!I25)*(4/100))</f>
        <v>2000</v>
      </c>
      <c r="X6" s="5" t="e">
        <f>((PretsNet!Y6)*(4/100))</f>
        <v>#REF!</v>
      </c>
      <c r="Y6" s="5" t="e">
        <f t="shared" si="12"/>
        <v>#REF!</v>
      </c>
      <c r="Z6" s="5">
        <f>((prets!J25)*(4/100))</f>
        <v>2000</v>
      </c>
      <c r="AA6" s="5" t="e">
        <f>((PretsNet!AB6)*(4/100))</f>
        <v>#REF!</v>
      </c>
      <c r="AB6" s="5" t="e">
        <f t="shared" si="0"/>
        <v>#REF!</v>
      </c>
      <c r="AC6" s="5">
        <f>((prets!K25)*(4/100))</f>
        <v>2000</v>
      </c>
      <c r="AD6" s="5" t="e">
        <f>((PretsNet!AE6)*(4/100))</f>
        <v>#REF!</v>
      </c>
      <c r="AE6" s="5" t="e">
        <f t="shared" si="1"/>
        <v>#REF!</v>
      </c>
      <c r="AF6" s="5">
        <f>((prets!L25)*(4/100))</f>
        <v>2000</v>
      </c>
      <c r="AG6" s="5" t="e">
        <f>((PretsNet!AH6)*(4/100))</f>
        <v>#REF!</v>
      </c>
      <c r="AH6" s="5" t="e">
        <f t="shared" si="2"/>
        <v>#REF!</v>
      </c>
      <c r="AI6" s="5">
        <f>((prets!M25)*(4/100))</f>
        <v>0</v>
      </c>
      <c r="AJ6" s="5">
        <f>((PretsNet!AK6)*(4/100))</f>
        <v>0</v>
      </c>
      <c r="AK6" s="5">
        <f t="shared" si="3"/>
        <v>0</v>
      </c>
      <c r="AL6" s="25" t="e">
        <f>#REF!+#REF!+#REF!+#REF!+#REF!+O6+R6+U6+X6+AC6+AF6</f>
        <v>#REF!</v>
      </c>
      <c r="AM6" s="14" t="e">
        <f t="shared" si="4"/>
        <v>#REF!</v>
      </c>
      <c r="AN6" s="15" t="e">
        <f>Tableau47[[#This Row],[EP TOTALE]]+Tableau47[[#This Row],[INTERETS]]</f>
        <v>#REF!</v>
      </c>
    </row>
    <row r="7" spans="1:40">
      <c r="A7" s="5" t="s">
        <v>172</v>
      </c>
      <c r="B7" s="5">
        <f>((prets!B7)*(4/100))</f>
        <v>8000</v>
      </c>
      <c r="C7" s="5">
        <f>((PretsNet!D7)*(4/100))</f>
        <v>0</v>
      </c>
      <c r="D7" s="5">
        <f t="shared" si="5"/>
        <v>8000</v>
      </c>
      <c r="E7" s="5">
        <f>((prets!C26)*(4/100))</f>
        <v>0</v>
      </c>
      <c r="F7" s="5" t="e">
        <f>((PretsNet!G7)*(4/100))</f>
        <v>#REF!</v>
      </c>
      <c r="G7" s="5" t="e">
        <f t="shared" si="6"/>
        <v>#REF!</v>
      </c>
      <c r="H7" s="5">
        <f>((prets!D26)*(4/100))</f>
        <v>0</v>
      </c>
      <c r="I7" s="5" t="e">
        <f>((PretsNet!J7)*(4/100))</f>
        <v>#REF!</v>
      </c>
      <c r="J7" s="5" t="e">
        <f t="shared" si="7"/>
        <v>#REF!</v>
      </c>
      <c r="K7" s="5">
        <f>((prets!E26)*(4/100))</f>
        <v>8000</v>
      </c>
      <c r="L7" s="5" t="e">
        <f>((PretsNet!M7)*(4/100))</f>
        <v>#REF!</v>
      </c>
      <c r="M7" s="5" t="e">
        <f t="shared" si="8"/>
        <v>#REF!</v>
      </c>
      <c r="N7" s="5">
        <f>((prets!F26)*(4/100))</f>
        <v>14000</v>
      </c>
      <c r="O7" s="5" t="e">
        <f>((PretsNet!P7)*(4/100))</f>
        <v>#REF!</v>
      </c>
      <c r="P7" s="5" t="e">
        <f t="shared" si="9"/>
        <v>#REF!</v>
      </c>
      <c r="Q7" s="5">
        <f>((prets!G26)*(4/100))</f>
        <v>14000</v>
      </c>
      <c r="R7" s="5" t="e">
        <f>((PretsNet!S7)*(4/100))</f>
        <v>#REF!</v>
      </c>
      <c r="S7" s="5" t="e">
        <f t="shared" si="10"/>
        <v>#REF!</v>
      </c>
      <c r="T7" s="5">
        <f>((prets!H26)*(4/100))</f>
        <v>0</v>
      </c>
      <c r="U7" s="5" t="e">
        <f>((PretsNet!V7)*(4/100))</f>
        <v>#REF!</v>
      </c>
      <c r="V7" s="5" t="e">
        <f t="shared" si="11"/>
        <v>#REF!</v>
      </c>
      <c r="W7" s="5">
        <f>((prets!I26)*(4/100))</f>
        <v>0</v>
      </c>
      <c r="X7" s="5" t="e">
        <f>((PretsNet!Y7)*(4/100))</f>
        <v>#REF!</v>
      </c>
      <c r="Y7" s="5" t="e">
        <f t="shared" si="12"/>
        <v>#REF!</v>
      </c>
      <c r="Z7" s="5">
        <f>((prets!J26)*(4/100))</f>
        <v>0</v>
      </c>
      <c r="AA7" s="5" t="e">
        <f>((PretsNet!AB7)*(4/100))</f>
        <v>#REF!</v>
      </c>
      <c r="AB7" s="5" t="e">
        <f t="shared" si="0"/>
        <v>#REF!</v>
      </c>
      <c r="AC7" s="5">
        <f>((prets!K26)*(4/100))</f>
        <v>0</v>
      </c>
      <c r="AD7" s="5" t="e">
        <f>((PretsNet!AE7)*(4/100))</f>
        <v>#REF!</v>
      </c>
      <c r="AE7" s="5" t="e">
        <f t="shared" si="1"/>
        <v>#REF!</v>
      </c>
      <c r="AF7" s="5">
        <f>((prets!L26)*(4/100))</f>
        <v>0</v>
      </c>
      <c r="AG7" s="5" t="e">
        <f>((PretsNet!AH7)*(4/100))</f>
        <v>#REF!</v>
      </c>
      <c r="AH7" s="5" t="e">
        <f t="shared" si="2"/>
        <v>#REF!</v>
      </c>
      <c r="AI7" s="5">
        <f>((prets!M26)*(4/100))</f>
        <v>0</v>
      </c>
      <c r="AJ7" s="5" t="e">
        <f>((PretsNet!AK7)*(4/100))</f>
        <v>#REF!</v>
      </c>
      <c r="AK7" s="5" t="e">
        <f t="shared" si="3"/>
        <v>#REF!</v>
      </c>
      <c r="AL7" s="25" t="e">
        <f>#REF!+#REF!+#REF!+#REF!+#REF!+O7+R7+U7+X7+AC7+AF7</f>
        <v>#REF!</v>
      </c>
      <c r="AM7" s="14" t="e">
        <f t="shared" si="4"/>
        <v>#REF!</v>
      </c>
      <c r="AN7" s="15" t="e">
        <f>Tableau47[[#This Row],[EP TOTALE]]+Tableau47[[#This Row],[INTERETS]]</f>
        <v>#REF!</v>
      </c>
    </row>
    <row r="8" spans="1:40">
      <c r="A8" s="22" t="s">
        <v>173</v>
      </c>
      <c r="B8" s="5">
        <f>((prets!B8)*(4/100))</f>
        <v>0</v>
      </c>
      <c r="C8" s="5">
        <f>((PretsNet!D8)*(4/100))</f>
        <v>0</v>
      </c>
      <c r="D8" s="5">
        <f t="shared" si="5"/>
        <v>0</v>
      </c>
      <c r="E8" s="5">
        <f>((prets!C27)*(4/100))</f>
        <v>0</v>
      </c>
      <c r="F8" s="5" t="e">
        <f>((PretsNet!G8)*(4/100))</f>
        <v>#REF!</v>
      </c>
      <c r="G8" s="5" t="e">
        <f t="shared" si="6"/>
        <v>#REF!</v>
      </c>
      <c r="H8" s="5">
        <f>((prets!D27)*(4/100))</f>
        <v>8000</v>
      </c>
      <c r="I8" s="5" t="e">
        <f>((PretsNet!J8)*(4/100))</f>
        <v>#REF!</v>
      </c>
      <c r="J8" s="5" t="e">
        <f t="shared" si="7"/>
        <v>#REF!</v>
      </c>
      <c r="K8" s="5">
        <f>((prets!E27)*(4/100))</f>
        <v>8000</v>
      </c>
      <c r="L8" s="5" t="e">
        <f>((PretsNet!M8)*(4/100))</f>
        <v>#REF!</v>
      </c>
      <c r="M8" s="5" t="e">
        <f t="shared" si="8"/>
        <v>#REF!</v>
      </c>
      <c r="N8" s="5">
        <f>((prets!F27)*(4/100))</f>
        <v>8000</v>
      </c>
      <c r="O8" s="5" t="e">
        <f>((PretsNet!P8)*(4/100))</f>
        <v>#REF!</v>
      </c>
      <c r="P8" s="5" t="e">
        <f t="shared" si="9"/>
        <v>#REF!</v>
      </c>
      <c r="Q8" s="5">
        <f>((prets!G27)*(4/100))</f>
        <v>8000</v>
      </c>
      <c r="R8" s="5" t="e">
        <f>((PretsNet!S8)*(4/100))</f>
        <v>#REF!</v>
      </c>
      <c r="S8" s="5" t="e">
        <f t="shared" si="10"/>
        <v>#REF!</v>
      </c>
      <c r="T8" s="5">
        <f>((prets!H27)*(4/100))</f>
        <v>8000</v>
      </c>
      <c r="U8" s="5" t="e">
        <f>((PretsNet!V8)*(4/100))</f>
        <v>#REF!</v>
      </c>
      <c r="V8" s="5" t="e">
        <f t="shared" si="11"/>
        <v>#REF!</v>
      </c>
      <c r="W8" s="5">
        <f>((prets!I27)*(4/100))</f>
        <v>8000</v>
      </c>
      <c r="X8" s="5" t="e">
        <f>((PretsNet!Y8)*(4/100))</f>
        <v>#REF!</v>
      </c>
      <c r="Y8" s="5" t="e">
        <f t="shared" si="12"/>
        <v>#REF!</v>
      </c>
      <c r="Z8" s="5">
        <f>((prets!J27)*(4/100))</f>
        <v>8000</v>
      </c>
      <c r="AA8" s="5" t="e">
        <f>((PretsNet!AB8)*(4/100))</f>
        <v>#REF!</v>
      </c>
      <c r="AB8" s="5" t="e">
        <f t="shared" si="0"/>
        <v>#REF!</v>
      </c>
      <c r="AC8" s="5">
        <f>((prets!K27)*(4/100))</f>
        <v>22000</v>
      </c>
      <c r="AD8" s="5" t="e">
        <f>((PretsNet!AE8)*(4/100))</f>
        <v>#REF!</v>
      </c>
      <c r="AE8" s="5" t="e">
        <f t="shared" si="1"/>
        <v>#REF!</v>
      </c>
      <c r="AF8" s="5">
        <f>((prets!L27)*(4/100))</f>
        <v>34120</v>
      </c>
      <c r="AG8" s="5" t="e">
        <f>((PretsNet!AH8)*(4/100))</f>
        <v>#REF!</v>
      </c>
      <c r="AH8" s="5" t="e">
        <f t="shared" si="2"/>
        <v>#REF!</v>
      </c>
      <c r="AI8" s="5">
        <f>((prets!M27)*(4/100))</f>
        <v>0</v>
      </c>
      <c r="AJ8" s="5">
        <f>((PretsNet!AK8)*(4/100))</f>
        <v>0</v>
      </c>
      <c r="AK8" s="5">
        <f t="shared" si="3"/>
        <v>0</v>
      </c>
      <c r="AL8" s="25" t="e">
        <f>#REF!+#REF!+#REF!+#REF!+#REF!+O8+R8+U8+X8+AC8+AF8</f>
        <v>#REF!</v>
      </c>
      <c r="AM8" s="14" t="e">
        <f t="shared" si="4"/>
        <v>#REF!</v>
      </c>
      <c r="AN8" s="15" t="e">
        <f>Tableau47[[#This Row],[EP TOTALE]]+Tableau47[[#This Row],[INTERETS]]</f>
        <v>#REF!</v>
      </c>
    </row>
    <row r="9" spans="1:40">
      <c r="A9" s="5" t="s">
        <v>174</v>
      </c>
      <c r="B9" s="5">
        <f>((prets!B9)*(4/100))</f>
        <v>0</v>
      </c>
      <c r="C9" s="5" t="e">
        <f>((PretsNet!D9)*(4/100))</f>
        <v>#REF!</v>
      </c>
      <c r="D9" s="5" t="e">
        <f t="shared" si="5"/>
        <v>#REF!</v>
      </c>
      <c r="E9" s="5">
        <f>((prets!C28)*(4/100))</f>
        <v>8000</v>
      </c>
      <c r="F9" s="5" t="e">
        <f>((PretsNet!G9)*(4/100))</f>
        <v>#REF!</v>
      </c>
      <c r="G9" s="5" t="e">
        <f t="shared" si="6"/>
        <v>#REF!</v>
      </c>
      <c r="H9" s="5">
        <f>((prets!D28)*(4/100))</f>
        <v>20000</v>
      </c>
      <c r="I9" s="5" t="e">
        <f>((PretsNet!J9)*(4/100))</f>
        <v>#REF!</v>
      </c>
      <c r="J9" s="5" t="e">
        <f t="shared" si="7"/>
        <v>#REF!</v>
      </c>
      <c r="K9" s="5">
        <f>((prets!E28)*(4/100))</f>
        <v>20000</v>
      </c>
      <c r="L9" s="5" t="e">
        <f>((PretsNet!M9)*(4/100))</f>
        <v>#REF!</v>
      </c>
      <c r="M9" s="5" t="e">
        <f t="shared" si="8"/>
        <v>#REF!</v>
      </c>
      <c r="N9" s="5">
        <f>((prets!F28)*(4/100))</f>
        <v>24000</v>
      </c>
      <c r="O9" s="5" t="e">
        <f>((PretsNet!P9)*(4/100))</f>
        <v>#REF!</v>
      </c>
      <c r="P9" s="5" t="e">
        <f t="shared" si="9"/>
        <v>#REF!</v>
      </c>
      <c r="Q9" s="5">
        <f>((prets!G28)*(4/100))</f>
        <v>24000</v>
      </c>
      <c r="R9" s="5" t="e">
        <f>((PretsNet!S9)*(4/100))</f>
        <v>#REF!</v>
      </c>
      <c r="S9" s="5" t="e">
        <f t="shared" si="10"/>
        <v>#REF!</v>
      </c>
      <c r="T9" s="5">
        <f>((prets!H28)*(4/100))</f>
        <v>24000</v>
      </c>
      <c r="U9" s="5" t="e">
        <f>((PretsNet!V9)*(4/100))</f>
        <v>#REF!</v>
      </c>
      <c r="V9" s="5" t="e">
        <f t="shared" si="11"/>
        <v>#REF!</v>
      </c>
      <c r="W9" s="5">
        <f>((prets!I28)*(4/100))</f>
        <v>24000</v>
      </c>
      <c r="X9" s="5" t="e">
        <f>((PretsNet!Y9)*(4/100))</f>
        <v>#REF!</v>
      </c>
      <c r="Y9" s="5" t="e">
        <f t="shared" si="12"/>
        <v>#REF!</v>
      </c>
      <c r="Z9" s="5">
        <f>((prets!J28)*(4/100))</f>
        <v>0</v>
      </c>
      <c r="AA9" s="5" t="e">
        <f>((PretsNet!AB9)*(4/100))</f>
        <v>#REF!</v>
      </c>
      <c r="AB9" s="5" t="e">
        <f t="shared" si="0"/>
        <v>#REF!</v>
      </c>
      <c r="AC9" s="5">
        <f>((prets!K28)*(4/100))</f>
        <v>0</v>
      </c>
      <c r="AD9" s="5" t="e">
        <f>((PretsNet!AE9)*(4/100))</f>
        <v>#REF!</v>
      </c>
      <c r="AE9" s="5" t="e">
        <f t="shared" si="1"/>
        <v>#REF!</v>
      </c>
      <c r="AF9" s="5">
        <f>((prets!L28)*(4/100))</f>
        <v>0</v>
      </c>
      <c r="AG9" s="5" t="e">
        <f>((PretsNet!AH9)*(4/100))</f>
        <v>#REF!</v>
      </c>
      <c r="AH9" s="5" t="e">
        <f t="shared" si="2"/>
        <v>#REF!</v>
      </c>
      <c r="AI9" s="5">
        <f>((prets!M28)*(4/100))</f>
        <v>0</v>
      </c>
      <c r="AJ9" s="5">
        <f>((PretsNet!AK9)*(4/100))</f>
        <v>0</v>
      </c>
      <c r="AK9" s="5">
        <f t="shared" si="3"/>
        <v>0</v>
      </c>
      <c r="AL9" s="25" t="e">
        <f>#REF!+#REF!+#REF!+#REF!+#REF!+O9+R9+U9+X9+AC9+AF9</f>
        <v>#REF!</v>
      </c>
      <c r="AM9" s="14" t="e">
        <f t="shared" si="4"/>
        <v>#REF!</v>
      </c>
      <c r="AN9" s="15" t="e">
        <f>Tableau47[[#This Row],[EP TOTALE]]+Tableau47[[#This Row],[INTERETS]]</f>
        <v>#REF!</v>
      </c>
    </row>
    <row r="10" spans="1:40">
      <c r="A10" s="22" t="s">
        <v>175</v>
      </c>
      <c r="B10" s="5">
        <f>((prets!B10)*(4/100))</f>
        <v>0</v>
      </c>
      <c r="C10" s="5">
        <f>((PretsNet!D10)*(4/100))</f>
        <v>0</v>
      </c>
      <c r="D10" s="5">
        <f t="shared" si="5"/>
        <v>0</v>
      </c>
      <c r="E10" s="5">
        <f>((prets!C29)*(4/100))</f>
        <v>0</v>
      </c>
      <c r="F10" s="5" t="e">
        <f>((PretsNet!G10)*(4/100))</f>
        <v>#REF!</v>
      </c>
      <c r="G10" s="5" t="e">
        <f t="shared" si="6"/>
        <v>#REF!</v>
      </c>
      <c r="H10" s="5">
        <f>((prets!D29)*(4/100))</f>
        <v>0</v>
      </c>
      <c r="I10" s="5" t="e">
        <f>((PretsNet!J10)*(4/100))</f>
        <v>#REF!</v>
      </c>
      <c r="J10" s="5" t="e">
        <f t="shared" si="7"/>
        <v>#REF!</v>
      </c>
      <c r="K10" s="5">
        <f>((prets!E29)*(4/100))</f>
        <v>0</v>
      </c>
      <c r="L10" s="5" t="e">
        <f>((PretsNet!M10)*(4/100))</f>
        <v>#REF!</v>
      </c>
      <c r="M10" s="5" t="e">
        <f t="shared" si="8"/>
        <v>#REF!</v>
      </c>
      <c r="N10" s="5">
        <f>((prets!F29)*(4/100))</f>
        <v>0</v>
      </c>
      <c r="O10" s="5" t="e">
        <f>((PretsNet!P10)*(4/100))</f>
        <v>#REF!</v>
      </c>
      <c r="P10" s="5" t="e">
        <f t="shared" si="9"/>
        <v>#REF!</v>
      </c>
      <c r="Q10" s="5">
        <f>((prets!G29)*(4/100))</f>
        <v>0</v>
      </c>
      <c r="R10" s="5" t="e">
        <f>((PretsNet!S10)*(4/100))</f>
        <v>#REF!</v>
      </c>
      <c r="S10" s="5" t="e">
        <f t="shared" si="10"/>
        <v>#REF!</v>
      </c>
      <c r="T10" s="5">
        <f>((prets!H29)*(4/100))</f>
        <v>0</v>
      </c>
      <c r="U10" s="5" t="e">
        <f>((PretsNet!V10)*(4/100))</f>
        <v>#REF!</v>
      </c>
      <c r="V10" s="5" t="e">
        <f t="shared" si="11"/>
        <v>#REF!</v>
      </c>
      <c r="W10" s="5">
        <f>((prets!I29)*(4/100))</f>
        <v>0</v>
      </c>
      <c r="X10" s="5" t="e">
        <f>((PretsNet!Y10)*(4/100))</f>
        <v>#REF!</v>
      </c>
      <c r="Y10" s="5" t="e">
        <f t="shared" si="12"/>
        <v>#REF!</v>
      </c>
      <c r="Z10" s="5">
        <f>((prets!J29)*(4/100))</f>
        <v>0</v>
      </c>
      <c r="AA10" s="5" t="e">
        <f>((PretsNet!AB10)*(4/100))</f>
        <v>#REF!</v>
      </c>
      <c r="AB10" s="5" t="e">
        <f t="shared" si="0"/>
        <v>#REF!</v>
      </c>
      <c r="AC10" s="5">
        <f>((prets!K29)*(4/100))</f>
        <v>0</v>
      </c>
      <c r="AD10" s="5" t="e">
        <f>((PretsNet!AE10)*(4/100))</f>
        <v>#REF!</v>
      </c>
      <c r="AE10" s="5" t="e">
        <f t="shared" si="1"/>
        <v>#REF!</v>
      </c>
      <c r="AF10" s="5">
        <f>((prets!L29)*(4/100))</f>
        <v>0</v>
      </c>
      <c r="AG10" s="5" t="e">
        <f>((PretsNet!AH10)*(4/100))</f>
        <v>#REF!</v>
      </c>
      <c r="AH10" s="5" t="e">
        <f t="shared" si="2"/>
        <v>#REF!</v>
      </c>
      <c r="AI10" s="5">
        <f>((prets!M29)*(4/100))</f>
        <v>0</v>
      </c>
      <c r="AJ10" s="5" t="e">
        <f>((PretsNet!AK10)*(4/100))</f>
        <v>#REF!</v>
      </c>
      <c r="AK10" s="5" t="e">
        <f t="shared" si="3"/>
        <v>#REF!</v>
      </c>
      <c r="AL10" s="25" t="e">
        <f>#REF!+#REF!+#REF!+#REF!+#REF!+O10+R10+U10+X10+AC10+AF10</f>
        <v>#REF!</v>
      </c>
      <c r="AM10" s="14" t="e">
        <f t="shared" si="4"/>
        <v>#REF!</v>
      </c>
      <c r="AN10" s="15" t="e">
        <f>Tableau47[[#This Row],[EP TOTALE]]+Tableau47[[#This Row],[INTERETS]]</f>
        <v>#REF!</v>
      </c>
    </row>
    <row r="11" spans="1:40">
      <c r="A11" s="5" t="s">
        <v>176</v>
      </c>
      <c r="B11" s="5">
        <f>((prets!B11)*(4/100))</f>
        <v>0</v>
      </c>
      <c r="C11" s="5">
        <f>((PretsNet!D11)*(4/100))</f>
        <v>0</v>
      </c>
      <c r="D11" s="5">
        <f t="shared" si="5"/>
        <v>0</v>
      </c>
      <c r="E11" s="5">
        <f>((prets!C30)*(4/100))</f>
        <v>0</v>
      </c>
      <c r="F11" s="5" t="e">
        <f>((PretsNet!G11)*(4/100))</f>
        <v>#REF!</v>
      </c>
      <c r="G11" s="5" t="e">
        <f t="shared" si="6"/>
        <v>#REF!</v>
      </c>
      <c r="H11" s="5">
        <f>((prets!D30)*(4/100))</f>
        <v>0</v>
      </c>
      <c r="I11" s="5" t="e">
        <f>((PretsNet!J11)*(4/100))</f>
        <v>#REF!</v>
      </c>
      <c r="J11" s="5" t="e">
        <f t="shared" si="7"/>
        <v>#REF!</v>
      </c>
      <c r="K11" s="5">
        <f>((prets!E30)*(4/100))</f>
        <v>0</v>
      </c>
      <c r="L11" s="5" t="e">
        <f>((PretsNet!M11)*(4/100))</f>
        <v>#REF!</v>
      </c>
      <c r="M11" s="5" t="e">
        <f t="shared" si="8"/>
        <v>#REF!</v>
      </c>
      <c r="N11" s="5">
        <f>((prets!F30)*(4/100))</f>
        <v>2000</v>
      </c>
      <c r="O11" s="5" t="e">
        <f>((PretsNet!P11)*(4/100))</f>
        <v>#REF!</v>
      </c>
      <c r="P11" s="5" t="e">
        <f t="shared" si="9"/>
        <v>#REF!</v>
      </c>
      <c r="Q11" s="5">
        <f>((prets!G30)*(4/100))</f>
        <v>2000</v>
      </c>
      <c r="R11" s="5" t="e">
        <f>((PretsNet!S11)*(4/100))</f>
        <v>#REF!</v>
      </c>
      <c r="S11" s="5" t="e">
        <f t="shared" si="10"/>
        <v>#REF!</v>
      </c>
      <c r="T11" s="5">
        <f>((prets!H30)*(4/100))</f>
        <v>2000</v>
      </c>
      <c r="U11" s="5" t="e">
        <f>((PretsNet!V11)*(4/100))</f>
        <v>#REF!</v>
      </c>
      <c r="V11" s="5" t="e">
        <f t="shared" si="11"/>
        <v>#REF!</v>
      </c>
      <c r="W11" s="5">
        <f>((prets!I30)*(4/100))</f>
        <v>2000</v>
      </c>
      <c r="X11" s="5" t="e">
        <f>((PretsNet!Y11)*(4/100))</f>
        <v>#REF!</v>
      </c>
      <c r="Y11" s="5" t="e">
        <f t="shared" si="12"/>
        <v>#REF!</v>
      </c>
      <c r="Z11" s="5">
        <f>((prets!J30)*(4/100))</f>
        <v>6000</v>
      </c>
      <c r="AA11" s="5" t="e">
        <f>((PretsNet!AB11)*(4/100))</f>
        <v>#REF!</v>
      </c>
      <c r="AB11" s="5" t="e">
        <f t="shared" si="0"/>
        <v>#REF!</v>
      </c>
      <c r="AC11" s="5">
        <f>((prets!K30)*(4/100))</f>
        <v>6000</v>
      </c>
      <c r="AD11" s="5" t="e">
        <f>((PretsNet!AE11)*(4/100))</f>
        <v>#REF!</v>
      </c>
      <c r="AE11" s="5" t="e">
        <f t="shared" si="1"/>
        <v>#REF!</v>
      </c>
      <c r="AF11" s="5">
        <f>((prets!L30)*(4/100))</f>
        <v>6000</v>
      </c>
      <c r="AG11" s="5" t="e">
        <f>((PretsNet!AH11)*(4/100))</f>
        <v>#REF!</v>
      </c>
      <c r="AH11" s="5" t="e">
        <f t="shared" si="2"/>
        <v>#REF!</v>
      </c>
      <c r="AI11" s="5">
        <f>((prets!M30)*(4/100))</f>
        <v>0</v>
      </c>
      <c r="AJ11" s="5">
        <f>((PretsNet!AK11)*(4/100))</f>
        <v>0</v>
      </c>
      <c r="AK11" s="5">
        <f t="shared" si="3"/>
        <v>0</v>
      </c>
      <c r="AL11" s="25" t="e">
        <f>#REF!+#REF!+#REF!+#REF!+#REF!+O11+R11+U11+X11+AC11+AF11</f>
        <v>#REF!</v>
      </c>
      <c r="AM11" s="14" t="e">
        <f t="shared" si="4"/>
        <v>#REF!</v>
      </c>
      <c r="AN11" s="15" t="e">
        <f>Tableau47[[#This Row],[EP TOTALE]]+Tableau47[[#This Row],[INTERETS]]</f>
        <v>#REF!</v>
      </c>
    </row>
    <row r="12" spans="1:40">
      <c r="A12" s="22" t="s">
        <v>177</v>
      </c>
      <c r="B12" s="5">
        <f>((prets!B12)*(4/100))</f>
        <v>0</v>
      </c>
      <c r="C12" s="5">
        <f>((PretsNet!D12)*(4/100))</f>
        <v>0</v>
      </c>
      <c r="D12" s="5">
        <f t="shared" si="5"/>
        <v>0</v>
      </c>
      <c r="E12" s="5">
        <f>((prets!C31)*(4/100))</f>
        <v>0</v>
      </c>
      <c r="F12" s="5" t="e">
        <f>((PretsNet!G12)*(4/100))</f>
        <v>#REF!</v>
      </c>
      <c r="G12" s="5" t="e">
        <f t="shared" si="6"/>
        <v>#REF!</v>
      </c>
      <c r="H12" s="5">
        <f>((prets!D31)*(4/100))</f>
        <v>0</v>
      </c>
      <c r="I12" s="5" t="e">
        <f>((PretsNet!J12)*(4/100))</f>
        <v>#REF!</v>
      </c>
      <c r="J12" s="5" t="e">
        <f t="shared" si="7"/>
        <v>#REF!</v>
      </c>
      <c r="K12" s="5">
        <f>((prets!E31)*(4/100))</f>
        <v>0</v>
      </c>
      <c r="L12" s="5" t="e">
        <f>((PretsNet!M12)*(4/100))</f>
        <v>#REF!</v>
      </c>
      <c r="M12" s="5" t="e">
        <f t="shared" si="8"/>
        <v>#REF!</v>
      </c>
      <c r="N12" s="5">
        <f>((prets!F31)*(4/100))</f>
        <v>0</v>
      </c>
      <c r="O12" s="5" t="e">
        <f>((PretsNet!P12)*(4/100))</f>
        <v>#REF!</v>
      </c>
      <c r="P12" s="5" t="e">
        <f t="shared" si="9"/>
        <v>#REF!</v>
      </c>
      <c r="Q12" s="5">
        <f>((prets!G31)*(4/100))</f>
        <v>0</v>
      </c>
      <c r="R12" s="5" t="e">
        <f>((PretsNet!S12)*(4/100))</f>
        <v>#REF!</v>
      </c>
      <c r="S12" s="5" t="e">
        <f t="shared" si="10"/>
        <v>#REF!</v>
      </c>
      <c r="T12" s="5">
        <f>((prets!H31)*(4/100))</f>
        <v>0</v>
      </c>
      <c r="U12" s="5" t="e">
        <f>((PretsNet!V12)*(4/100))</f>
        <v>#REF!</v>
      </c>
      <c r="V12" s="5" t="e">
        <f t="shared" si="11"/>
        <v>#REF!</v>
      </c>
      <c r="W12" s="5">
        <f>((prets!I31)*(4/100))</f>
        <v>0</v>
      </c>
      <c r="X12" s="5" t="e">
        <f>((PretsNet!Y12)*(4/100))</f>
        <v>#REF!</v>
      </c>
      <c r="Y12" s="5" t="e">
        <f t="shared" si="12"/>
        <v>#REF!</v>
      </c>
      <c r="Z12" s="5">
        <f>((prets!J31)*(4/100))</f>
        <v>0</v>
      </c>
      <c r="AA12" s="5" t="e">
        <f>((PretsNet!AB12)*(4/100))</f>
        <v>#REF!</v>
      </c>
      <c r="AB12" s="5" t="e">
        <f t="shared" si="0"/>
        <v>#REF!</v>
      </c>
      <c r="AC12" s="5">
        <f>((prets!K31)*(4/100))</f>
        <v>0</v>
      </c>
      <c r="AD12" s="5" t="e">
        <f>((PretsNet!AE12)*(4/100))</f>
        <v>#REF!</v>
      </c>
      <c r="AE12" s="5" t="e">
        <f t="shared" si="1"/>
        <v>#REF!</v>
      </c>
      <c r="AF12" s="5">
        <f>((prets!L31)*(4/100))</f>
        <v>0</v>
      </c>
      <c r="AG12" s="5" t="e">
        <f>((PretsNet!AH12)*(4/100))</f>
        <v>#REF!</v>
      </c>
      <c r="AH12" s="5" t="e">
        <f t="shared" si="2"/>
        <v>#REF!</v>
      </c>
      <c r="AI12" s="5">
        <f>((prets!M31)*(4/100))</f>
        <v>0</v>
      </c>
      <c r="AJ12" s="5" t="e">
        <f>((PretsNet!AK12)*(4/100))</f>
        <v>#REF!</v>
      </c>
      <c r="AK12" s="5" t="e">
        <f t="shared" si="3"/>
        <v>#REF!</v>
      </c>
      <c r="AL12" s="25" t="e">
        <f>#REF!+#REF!+#REF!+#REF!+#REF!+O12+R12+U12+X12+AC12+AF12</f>
        <v>#REF!</v>
      </c>
      <c r="AM12" s="14" t="e">
        <f t="shared" si="4"/>
        <v>#REF!</v>
      </c>
      <c r="AN12" s="15" t="e">
        <f>Tableau47[[#This Row],[EP TOTALE]]+Tableau47[[#This Row],[INTERETS]]</f>
        <v>#REF!</v>
      </c>
    </row>
    <row r="13" spans="1:40">
      <c r="A13" s="5" t="s">
        <v>178</v>
      </c>
      <c r="B13" s="5">
        <f>((prets!B13)*(4/100))</f>
        <v>4000</v>
      </c>
      <c r="C13" s="5">
        <f>((PretsNet!D13)*(4/100))</f>
        <v>0</v>
      </c>
      <c r="D13" s="5">
        <f t="shared" si="5"/>
        <v>4000</v>
      </c>
      <c r="E13" s="5">
        <f>((prets!C32)*(4/100))</f>
        <v>0</v>
      </c>
      <c r="F13" s="5" t="e">
        <f>((PretsNet!G13)*(4/100))</f>
        <v>#REF!</v>
      </c>
      <c r="G13" s="5" t="e">
        <f t="shared" si="6"/>
        <v>#REF!</v>
      </c>
      <c r="H13" s="5">
        <f>((prets!D32)*(4/100))</f>
        <v>8000</v>
      </c>
      <c r="I13" s="5" t="e">
        <f>((PretsNet!J13)*(4/100))</f>
        <v>#REF!</v>
      </c>
      <c r="J13" s="5" t="e">
        <f t="shared" si="7"/>
        <v>#REF!</v>
      </c>
      <c r="K13" s="5">
        <f>((prets!E32)*(4/100))</f>
        <v>16000</v>
      </c>
      <c r="L13" s="5" t="e">
        <f>((PretsNet!M13)*(4/100))</f>
        <v>#REF!</v>
      </c>
      <c r="M13" s="5" t="e">
        <f t="shared" si="8"/>
        <v>#REF!</v>
      </c>
      <c r="N13" s="5">
        <f>((prets!F32)*(4/100))</f>
        <v>16000</v>
      </c>
      <c r="O13" s="5" t="e">
        <f>((PretsNet!P13)*(4/100))</f>
        <v>#REF!</v>
      </c>
      <c r="P13" s="5" t="e">
        <f t="shared" si="9"/>
        <v>#REF!</v>
      </c>
      <c r="Q13" s="5">
        <f>((prets!G32)*(4/100))</f>
        <v>30000</v>
      </c>
      <c r="R13" s="5" t="e">
        <f>((PretsNet!S13)*(4/100))</f>
        <v>#REF!</v>
      </c>
      <c r="S13" s="5" t="e">
        <f t="shared" si="10"/>
        <v>#REF!</v>
      </c>
      <c r="T13" s="5">
        <f>((prets!H32)*(4/100))</f>
        <v>26000</v>
      </c>
      <c r="U13" s="5" t="e">
        <f>((PretsNet!V13)*(4/100))</f>
        <v>#REF!</v>
      </c>
      <c r="V13" s="5" t="e">
        <f t="shared" si="11"/>
        <v>#REF!</v>
      </c>
      <c r="W13" s="5">
        <f>((prets!I32)*(4/100))</f>
        <v>26000</v>
      </c>
      <c r="X13" s="5" t="e">
        <f>((PretsNet!Y13)*(4/100))</f>
        <v>#REF!</v>
      </c>
      <c r="Y13" s="5" t="e">
        <f t="shared" si="12"/>
        <v>#REF!</v>
      </c>
      <c r="Z13" s="5">
        <f>((prets!J32)*(4/100))</f>
        <v>26000</v>
      </c>
      <c r="AA13" s="5" t="e">
        <f>((PretsNet!AB13)*(4/100))</f>
        <v>#REF!</v>
      </c>
      <c r="AB13" s="5" t="e">
        <f t="shared" si="0"/>
        <v>#REF!</v>
      </c>
      <c r="AC13" s="5">
        <f>((prets!K32)*(4/100))</f>
        <v>26000</v>
      </c>
      <c r="AD13" s="5" t="e">
        <f>((PretsNet!AE13)*(4/100))</f>
        <v>#REF!</v>
      </c>
      <c r="AE13" s="5" t="e">
        <f t="shared" si="1"/>
        <v>#REF!</v>
      </c>
      <c r="AF13" s="5">
        <f>((prets!L32)*(4/100))</f>
        <v>26000</v>
      </c>
      <c r="AG13" s="5" t="e">
        <f>((PretsNet!AH13)*(4/100))</f>
        <v>#REF!</v>
      </c>
      <c r="AH13" s="5" t="e">
        <f t="shared" si="2"/>
        <v>#REF!</v>
      </c>
      <c r="AI13" s="5">
        <f>((prets!M32)*(4/100))</f>
        <v>0</v>
      </c>
      <c r="AJ13" s="5" t="e">
        <f>((PretsNet!AK13)*(4/100))</f>
        <v>#REF!</v>
      </c>
      <c r="AK13" s="5" t="e">
        <f t="shared" si="3"/>
        <v>#REF!</v>
      </c>
      <c r="AL13" s="25" t="e">
        <f>#REF!+#REF!+#REF!+#REF!+#REF!+O13+R13+U13+X13+AC13+AF13</f>
        <v>#REF!</v>
      </c>
      <c r="AM13" s="14" t="e">
        <f t="shared" si="4"/>
        <v>#REF!</v>
      </c>
      <c r="AN13" s="15" t="e">
        <f>Tableau47[[#This Row],[EP TOTALE]]+Tableau47[[#This Row],[INTERETS]]</f>
        <v>#REF!</v>
      </c>
    </row>
    <row r="14" spans="1:40">
      <c r="A14" s="22" t="s">
        <v>179</v>
      </c>
      <c r="B14" s="5">
        <f>((prets!B14)*(4/100))</f>
        <v>0</v>
      </c>
      <c r="C14" s="5">
        <f>((PretsNet!D14)*(4/100))</f>
        <v>0</v>
      </c>
      <c r="D14" s="5">
        <f t="shared" si="5"/>
        <v>0</v>
      </c>
      <c r="E14" s="5">
        <f>((prets!C33)*(4/100))</f>
        <v>4000</v>
      </c>
      <c r="F14" s="5" t="e">
        <f>((PretsNet!G14)*(4/100))</f>
        <v>#REF!</v>
      </c>
      <c r="G14" s="5" t="e">
        <f t="shared" si="6"/>
        <v>#REF!</v>
      </c>
      <c r="H14" s="5">
        <f>((prets!D33)*(4/100))</f>
        <v>4000</v>
      </c>
      <c r="I14" s="5" t="e">
        <f>((PretsNet!J14)*(4/100))</f>
        <v>#REF!</v>
      </c>
      <c r="J14" s="5" t="e">
        <f t="shared" si="7"/>
        <v>#REF!</v>
      </c>
      <c r="K14" s="5">
        <f>((prets!E33)*(4/100))</f>
        <v>4000</v>
      </c>
      <c r="L14" s="5" t="e">
        <f>((PretsNet!M14)*(4/100))</f>
        <v>#REF!</v>
      </c>
      <c r="M14" s="5" t="e">
        <f t="shared" si="8"/>
        <v>#REF!</v>
      </c>
      <c r="N14" s="5">
        <f>((prets!F33)*(4/100))</f>
        <v>20000</v>
      </c>
      <c r="O14" s="5" t="e">
        <f>((PretsNet!P14)*(4/100))</f>
        <v>#REF!</v>
      </c>
      <c r="P14" s="5" t="e">
        <f t="shared" si="9"/>
        <v>#REF!</v>
      </c>
      <c r="Q14" s="5">
        <f>((prets!G33)*(4/100))</f>
        <v>20000</v>
      </c>
      <c r="R14" s="5" t="e">
        <f>((PretsNet!S14)*(4/100))</f>
        <v>#REF!</v>
      </c>
      <c r="S14" s="5" t="e">
        <f t="shared" si="10"/>
        <v>#REF!</v>
      </c>
      <c r="T14" s="5">
        <f>((prets!H33)*(4/100))</f>
        <v>32000</v>
      </c>
      <c r="U14" s="5" t="e">
        <f>((PretsNet!V14)*(4/100))</f>
        <v>#REF!</v>
      </c>
      <c r="V14" s="5" t="e">
        <f t="shared" si="11"/>
        <v>#REF!</v>
      </c>
      <c r="W14" s="5">
        <f>((prets!I33)*(4/100))</f>
        <v>28000</v>
      </c>
      <c r="X14" s="5" t="e">
        <f>((PretsNet!Y14)*(4/100))</f>
        <v>#REF!</v>
      </c>
      <c r="Y14" s="5" t="e">
        <f t="shared" si="12"/>
        <v>#REF!</v>
      </c>
      <c r="Z14" s="5">
        <f>((prets!J33)*(4/100))</f>
        <v>44000</v>
      </c>
      <c r="AA14" s="5" t="e">
        <f>((PretsNet!AB14)*(4/100))</f>
        <v>#REF!</v>
      </c>
      <c r="AB14" s="5" t="e">
        <f t="shared" si="0"/>
        <v>#REF!</v>
      </c>
      <c r="AC14" s="5">
        <f>((prets!K33)*(4/100))</f>
        <v>44000</v>
      </c>
      <c r="AD14" s="5" t="e">
        <f>((PretsNet!AE14)*(4/100))</f>
        <v>#REF!</v>
      </c>
      <c r="AE14" s="5" t="e">
        <f t="shared" si="1"/>
        <v>#REF!</v>
      </c>
      <c r="AF14" s="5">
        <f>((prets!L33)*(4/100))</f>
        <v>44000</v>
      </c>
      <c r="AG14" s="5" t="e">
        <f>((PretsNet!AH14)*(4/100))</f>
        <v>#REF!</v>
      </c>
      <c r="AH14" s="5" t="e">
        <f t="shared" si="2"/>
        <v>#REF!</v>
      </c>
      <c r="AI14" s="5">
        <f>((prets!M33)*(4/100))</f>
        <v>0</v>
      </c>
      <c r="AJ14" s="5" t="e">
        <f>((PretsNet!AK14)*(4/100))</f>
        <v>#REF!</v>
      </c>
      <c r="AK14" s="5" t="e">
        <f t="shared" si="3"/>
        <v>#REF!</v>
      </c>
      <c r="AL14" s="25" t="e">
        <f>#REF!+#REF!+#REF!+#REF!+#REF!+O14+R14+U14+X14+AC14+AF14</f>
        <v>#REF!</v>
      </c>
      <c r="AM14" s="14" t="e">
        <f t="shared" si="4"/>
        <v>#REF!</v>
      </c>
      <c r="AN14" s="15" t="e">
        <f>Tableau47[[#This Row],[EP TOTALE]]+Tableau47[[#This Row],[INTERETS]]</f>
        <v>#REF!</v>
      </c>
    </row>
    <row r="15" spans="1:40">
      <c r="A15" s="5" t="s">
        <v>180</v>
      </c>
      <c r="B15" s="5">
        <f>((prets!B15)*(4/100))</f>
        <v>0</v>
      </c>
      <c r="C15" s="16">
        <f>((PretsNet!D15)*(4/100))</f>
        <v>0</v>
      </c>
      <c r="D15" s="5">
        <f t="shared" si="5"/>
        <v>0</v>
      </c>
      <c r="E15" s="16">
        <f>((prets!C15)*(4/100))</f>
        <v>1520</v>
      </c>
      <c r="F15" s="5" t="e">
        <f>((PretsNet!G15)*(4/100))</f>
        <v>#REF!</v>
      </c>
      <c r="G15" s="16">
        <f t="shared" ref="G15:G31" si="13">+H15+E15</f>
        <v>7040</v>
      </c>
      <c r="H15" s="16">
        <f>((prets!D15)*(4/100))</f>
        <v>5520</v>
      </c>
      <c r="I15" s="16" t="e">
        <f>((PretsNet!J15)*(4/100))</f>
        <v>#REF!</v>
      </c>
      <c r="J15" s="16" t="e">
        <f>+H15+#REF!</f>
        <v>#REF!</v>
      </c>
      <c r="K15" s="16" t="e">
        <f t="shared" ref="K15:K31" si="14">+J15*(1+77100/1425760)</f>
        <v>#REF!</v>
      </c>
      <c r="L15" s="16" t="e">
        <f>((PretsNet!M15)*(4/100))</f>
        <v>#REF!</v>
      </c>
      <c r="M15" s="16" t="e">
        <f>+K15+#REF!</f>
        <v>#REF!</v>
      </c>
      <c r="N15" s="16" t="e">
        <f t="shared" ref="N15:N31" si="15">+M15*(1+85300/1554560)</f>
        <v>#REF!</v>
      </c>
      <c r="O15" s="16"/>
      <c r="P15" s="16" t="e">
        <f t="shared" ref="P15:P31" si="16">+N15+O15</f>
        <v>#REF!</v>
      </c>
      <c r="Q15" s="16" t="e">
        <f t="shared" ref="Q15:Q31" si="17">+P15*(1+108300/1711860)</f>
        <v>#REF!</v>
      </c>
      <c r="R15" s="16"/>
      <c r="S15" s="16" t="e">
        <f t="shared" ref="S15:S31" si="18">+Q15+R15</f>
        <v>#REF!</v>
      </c>
      <c r="T15" s="16" t="e">
        <f t="shared" ref="T15:T31" si="19">+S15*(1+113600/1822160)</f>
        <v>#REF!</v>
      </c>
      <c r="U15" s="16"/>
      <c r="V15" s="16" t="e">
        <f t="shared" ref="V15:V31" si="20">+T15+U15</f>
        <v>#REF!</v>
      </c>
      <c r="W15" s="16" t="e">
        <f t="shared" ref="W15:W31" si="21">+V15*(1+125950/2067260)</f>
        <v>#REF!</v>
      </c>
      <c r="X15" s="16"/>
      <c r="Y15" s="16" t="e">
        <f t="shared" ref="Y15:Y31" si="22">+W15+X15</f>
        <v>#REF!</v>
      </c>
      <c r="Z15" s="16" t="e">
        <f t="shared" ref="Z15:Z31" si="23">+Y15*(1+110250/2193210)</f>
        <v>#REF!</v>
      </c>
      <c r="AA15" s="16" t="e">
        <f>((PretsNet!AB15)*(4/100))</f>
        <v>#REF!</v>
      </c>
      <c r="AB15" s="16" t="e">
        <f t="shared" ref="AB15:AB31" si="24">+Z15+AA15</f>
        <v>#REF!</v>
      </c>
      <c r="AC15" s="16"/>
      <c r="AD15" s="16" t="e">
        <f t="shared" ref="AD15:AD31" si="25">+Z15+AC15</f>
        <v>#REF!</v>
      </c>
      <c r="AE15" s="16" t="e">
        <f t="shared" ref="AE15:AE31" si="26">+AD15*(1+0/2303460)</f>
        <v>#REF!</v>
      </c>
      <c r="AF15" s="16"/>
      <c r="AG15" s="16" t="e">
        <f t="shared" ref="AG15:AG31" si="27">+AE15+AF15</f>
        <v>#REF!</v>
      </c>
      <c r="AH15" s="16" t="e">
        <f t="shared" ref="AH15:AH31" si="28">+AG15*(1+0/2303460)</f>
        <v>#REF!</v>
      </c>
      <c r="AI15" s="16"/>
      <c r="AJ15" s="16" t="e">
        <f t="shared" ref="AJ15:AJ31" si="29">+AH15+AI15</f>
        <v>#REF!</v>
      </c>
      <c r="AK15" s="16" t="e">
        <f t="shared" ref="AK15:AK31" si="30">+AJ15*(1+0/2303460)</f>
        <v>#REF!</v>
      </c>
      <c r="AL15" s="27" t="e">
        <f>#REF!+#REF!+#REF!+#REF!+#REF!+O15+R15+U15+X15+AC15+AF15</f>
        <v>#REF!</v>
      </c>
      <c r="AM15" s="17" t="e">
        <f t="shared" ref="AM15:AM31" si="31">-AL15+AH15</f>
        <v>#REF!</v>
      </c>
      <c r="AN15" s="18" t="e">
        <f>Tableau47[[#This Row],[EP TOTALE]]+Tableau47[[#This Row],[INTERETS]]</f>
        <v>#REF!</v>
      </c>
    </row>
    <row r="16" spans="1:40">
      <c r="A16" s="22" t="s">
        <v>181</v>
      </c>
      <c r="B16" s="5">
        <f>((prets!B16)*(4/100))</f>
        <v>0</v>
      </c>
      <c r="C16" s="16">
        <f>((PretsNet!D16)*(4/100))</f>
        <v>0</v>
      </c>
      <c r="D16" s="5">
        <f t="shared" si="5"/>
        <v>0</v>
      </c>
      <c r="E16" s="16">
        <f>((prets!C16)*(4/100))</f>
        <v>0</v>
      </c>
      <c r="F16" s="5" t="e">
        <f>((PretsNet!G16)*(4/100))</f>
        <v>#REF!</v>
      </c>
      <c r="G16" s="16">
        <f t="shared" ref="G16:G23" si="32">+H16+E16</f>
        <v>0</v>
      </c>
      <c r="H16" s="16">
        <f>((prets!D16)*(4/100))</f>
        <v>0</v>
      </c>
      <c r="I16" s="16" t="e">
        <f>((PretsNet!J16)*(4/100))</f>
        <v>#REF!</v>
      </c>
      <c r="J16" s="16" t="e">
        <f>+H16+#REF!</f>
        <v>#REF!</v>
      </c>
      <c r="K16" s="16" t="e">
        <f t="shared" ref="K16:K23" si="33">+J16*(1+77100/1425760)</f>
        <v>#REF!</v>
      </c>
      <c r="L16" s="16" t="e">
        <f>((PretsNet!M16)*(4/100))</f>
        <v>#REF!</v>
      </c>
      <c r="M16" s="16" t="e">
        <f>+K16+#REF!</f>
        <v>#REF!</v>
      </c>
      <c r="N16" s="16" t="e">
        <f t="shared" ref="N16:N23" si="34">+M16*(1+85300/1554560)</f>
        <v>#REF!</v>
      </c>
      <c r="O16" s="16"/>
      <c r="P16" s="16" t="e">
        <f t="shared" ref="P16:P23" si="35">+N16+O16</f>
        <v>#REF!</v>
      </c>
      <c r="Q16" s="16" t="e">
        <f t="shared" ref="Q16:Q23" si="36">+P16*(1+108300/1711860)</f>
        <v>#REF!</v>
      </c>
      <c r="R16" s="16"/>
      <c r="S16" s="16" t="e">
        <f t="shared" ref="S16:S23" si="37">+Q16+R16</f>
        <v>#REF!</v>
      </c>
      <c r="T16" s="16" t="e">
        <f t="shared" ref="T16:T23" si="38">+S16*(1+113600/1822160)</f>
        <v>#REF!</v>
      </c>
      <c r="U16" s="16"/>
      <c r="V16" s="16" t="e">
        <f t="shared" ref="V16:V23" si="39">+T16+U16</f>
        <v>#REF!</v>
      </c>
      <c r="W16" s="16" t="e">
        <f t="shared" ref="W16:W23" si="40">+V16*(1+125950/2067260)</f>
        <v>#REF!</v>
      </c>
      <c r="X16" s="16"/>
      <c r="Y16" s="16" t="e">
        <f t="shared" ref="Y16:Y23" si="41">+W16+X16</f>
        <v>#REF!</v>
      </c>
      <c r="Z16" s="16" t="e">
        <f t="shared" ref="Z16:Z23" si="42">+Y16*(1+110250/2193210)</f>
        <v>#REF!</v>
      </c>
      <c r="AA16" s="16" t="e">
        <f>((PretsNet!AB16)*(4/100))</f>
        <v>#REF!</v>
      </c>
      <c r="AB16" s="16" t="e">
        <f t="shared" ref="AB16:AB23" si="43">+Z16+AA16</f>
        <v>#REF!</v>
      </c>
      <c r="AC16" s="16"/>
      <c r="AD16" s="16" t="e">
        <f t="shared" ref="AD16:AD23" si="44">+Z16+AC16</f>
        <v>#REF!</v>
      </c>
      <c r="AE16" s="16" t="e">
        <f t="shared" ref="AE16:AE23" si="45">+AD16*(1+0/2303460)</f>
        <v>#REF!</v>
      </c>
      <c r="AF16" s="16"/>
      <c r="AG16" s="16" t="e">
        <f t="shared" ref="AG16:AG23" si="46">+AE16+AF16</f>
        <v>#REF!</v>
      </c>
      <c r="AH16" s="16" t="e">
        <f t="shared" ref="AH16:AH23" si="47">+AG16*(1+0/2303460)</f>
        <v>#REF!</v>
      </c>
      <c r="AI16" s="16"/>
      <c r="AJ16" s="16" t="e">
        <f t="shared" ref="AJ16:AJ23" si="48">+AH16+AI16</f>
        <v>#REF!</v>
      </c>
      <c r="AK16" s="16" t="e">
        <f t="shared" ref="AK16:AK23" si="49">+AJ16*(1+0/2303460)</f>
        <v>#REF!</v>
      </c>
      <c r="AL16" s="27" t="e">
        <f>#REF!+#REF!+#REF!+#REF!+#REF!+O16+R16+U16+X16+AC16+AF16</f>
        <v>#REF!</v>
      </c>
      <c r="AM16" s="17" t="e">
        <f t="shared" ref="AM16:AM23" si="50">-AL16+AH16</f>
        <v>#REF!</v>
      </c>
      <c r="AN16" s="18" t="e">
        <f>Tableau47[[#This Row],[EP TOTALE]]+Tableau47[[#This Row],[INTERETS]]</f>
        <v>#REF!</v>
      </c>
    </row>
    <row r="17" spans="1:40">
      <c r="A17" s="5" t="s">
        <v>182</v>
      </c>
      <c r="B17" s="5">
        <f>((prets!B17)*(4/100))</f>
        <v>0</v>
      </c>
      <c r="C17" s="16">
        <f>((PretsNet!D17)*(4/100))</f>
        <v>0</v>
      </c>
      <c r="D17" s="5">
        <f t="shared" si="5"/>
        <v>0</v>
      </c>
      <c r="E17" s="16">
        <f>((prets!C17)*(4/100))</f>
        <v>0</v>
      </c>
      <c r="F17" s="5" t="e">
        <f>((PretsNet!G17)*(4/100))</f>
        <v>#REF!</v>
      </c>
      <c r="G17" s="16">
        <f t="shared" si="32"/>
        <v>0</v>
      </c>
      <c r="H17" s="16">
        <f>((prets!D17)*(4/100))</f>
        <v>0</v>
      </c>
      <c r="I17" s="16" t="e">
        <f>((PretsNet!J17)*(4/100))</f>
        <v>#REF!</v>
      </c>
      <c r="J17" s="16" t="e">
        <f>+H17+#REF!</f>
        <v>#REF!</v>
      </c>
      <c r="K17" s="16" t="e">
        <f t="shared" si="33"/>
        <v>#REF!</v>
      </c>
      <c r="L17" s="16" t="e">
        <f>((PretsNet!M17)*(4/100))</f>
        <v>#REF!</v>
      </c>
      <c r="M17" s="16" t="e">
        <f>+K17+#REF!</f>
        <v>#REF!</v>
      </c>
      <c r="N17" s="16" t="e">
        <f t="shared" si="34"/>
        <v>#REF!</v>
      </c>
      <c r="O17" s="16"/>
      <c r="P17" s="16" t="e">
        <f t="shared" si="35"/>
        <v>#REF!</v>
      </c>
      <c r="Q17" s="16" t="e">
        <f t="shared" si="36"/>
        <v>#REF!</v>
      </c>
      <c r="R17" s="16"/>
      <c r="S17" s="16" t="e">
        <f t="shared" si="37"/>
        <v>#REF!</v>
      </c>
      <c r="T17" s="16" t="e">
        <f t="shared" si="38"/>
        <v>#REF!</v>
      </c>
      <c r="U17" s="16"/>
      <c r="V17" s="16" t="e">
        <f t="shared" si="39"/>
        <v>#REF!</v>
      </c>
      <c r="W17" s="16" t="e">
        <f t="shared" si="40"/>
        <v>#REF!</v>
      </c>
      <c r="X17" s="16"/>
      <c r="Y17" s="16" t="e">
        <f t="shared" si="41"/>
        <v>#REF!</v>
      </c>
      <c r="Z17" s="16" t="e">
        <f t="shared" si="42"/>
        <v>#REF!</v>
      </c>
      <c r="AA17" s="16" t="e">
        <f>((PretsNet!AB17)*(4/100))</f>
        <v>#REF!</v>
      </c>
      <c r="AB17" s="16" t="e">
        <f t="shared" si="43"/>
        <v>#REF!</v>
      </c>
      <c r="AC17" s="16"/>
      <c r="AD17" s="16" t="e">
        <f t="shared" si="44"/>
        <v>#REF!</v>
      </c>
      <c r="AE17" s="16" t="e">
        <f t="shared" si="45"/>
        <v>#REF!</v>
      </c>
      <c r="AF17" s="16"/>
      <c r="AG17" s="16" t="e">
        <f t="shared" si="46"/>
        <v>#REF!</v>
      </c>
      <c r="AH17" s="16" t="e">
        <f t="shared" si="47"/>
        <v>#REF!</v>
      </c>
      <c r="AI17" s="16"/>
      <c r="AJ17" s="16" t="e">
        <f t="shared" si="48"/>
        <v>#REF!</v>
      </c>
      <c r="AK17" s="16" t="e">
        <f t="shared" si="49"/>
        <v>#REF!</v>
      </c>
      <c r="AL17" s="27" t="e">
        <f>#REF!+#REF!+#REF!+#REF!+#REF!+O17+R17+U17+X17+AC17+AF17</f>
        <v>#REF!</v>
      </c>
      <c r="AM17" s="17" t="e">
        <f t="shared" si="50"/>
        <v>#REF!</v>
      </c>
      <c r="AN17" s="18" t="e">
        <f>Tableau47[[#This Row],[EP TOTALE]]+Tableau47[[#This Row],[INTERETS]]</f>
        <v>#REF!</v>
      </c>
    </row>
    <row r="18" spans="1:40">
      <c r="A18" s="22" t="s">
        <v>183</v>
      </c>
      <c r="B18" s="5">
        <f>((prets!B18)*(4/100))</f>
        <v>0</v>
      </c>
      <c r="C18" s="16">
        <f>((PretsNet!D18)*(4/100))</f>
        <v>0</v>
      </c>
      <c r="D18" s="5">
        <f t="shared" si="5"/>
        <v>0</v>
      </c>
      <c r="E18" s="16">
        <f>((prets!C18)*(4/100))</f>
        <v>0</v>
      </c>
      <c r="F18" s="5" t="e">
        <f>((PretsNet!G18)*(4/100))</f>
        <v>#REF!</v>
      </c>
      <c r="G18" s="16">
        <f t="shared" si="32"/>
        <v>8000</v>
      </c>
      <c r="H18" s="16">
        <f>((prets!D18)*(4/100))</f>
        <v>8000</v>
      </c>
      <c r="I18" s="16" t="e">
        <f>((PretsNet!J18)*(4/100))</f>
        <v>#REF!</v>
      </c>
      <c r="J18" s="16" t="e">
        <f>+H18+#REF!</f>
        <v>#REF!</v>
      </c>
      <c r="K18" s="16" t="e">
        <f t="shared" si="33"/>
        <v>#REF!</v>
      </c>
      <c r="L18" s="16" t="e">
        <f>((PretsNet!M18)*(4/100))</f>
        <v>#REF!</v>
      </c>
      <c r="M18" s="16" t="e">
        <f>+K18+#REF!</f>
        <v>#REF!</v>
      </c>
      <c r="N18" s="16" t="e">
        <f t="shared" si="34"/>
        <v>#REF!</v>
      </c>
      <c r="O18" s="16"/>
      <c r="P18" s="16" t="e">
        <f t="shared" si="35"/>
        <v>#REF!</v>
      </c>
      <c r="Q18" s="16" t="e">
        <f t="shared" si="36"/>
        <v>#REF!</v>
      </c>
      <c r="R18" s="16"/>
      <c r="S18" s="16" t="e">
        <f t="shared" si="37"/>
        <v>#REF!</v>
      </c>
      <c r="T18" s="16" t="e">
        <f t="shared" si="38"/>
        <v>#REF!</v>
      </c>
      <c r="U18" s="16"/>
      <c r="V18" s="16" t="e">
        <f t="shared" si="39"/>
        <v>#REF!</v>
      </c>
      <c r="W18" s="16" t="e">
        <f t="shared" si="40"/>
        <v>#REF!</v>
      </c>
      <c r="X18" s="16"/>
      <c r="Y18" s="16" t="e">
        <f t="shared" si="41"/>
        <v>#REF!</v>
      </c>
      <c r="Z18" s="16" t="e">
        <f t="shared" si="42"/>
        <v>#REF!</v>
      </c>
      <c r="AA18" s="16" t="e">
        <f>((PretsNet!AB18)*(4/100))</f>
        <v>#REF!</v>
      </c>
      <c r="AB18" s="16" t="e">
        <f t="shared" si="43"/>
        <v>#REF!</v>
      </c>
      <c r="AC18" s="16"/>
      <c r="AD18" s="16" t="e">
        <f t="shared" si="44"/>
        <v>#REF!</v>
      </c>
      <c r="AE18" s="16" t="e">
        <f t="shared" si="45"/>
        <v>#REF!</v>
      </c>
      <c r="AF18" s="16"/>
      <c r="AG18" s="16" t="e">
        <f t="shared" si="46"/>
        <v>#REF!</v>
      </c>
      <c r="AH18" s="16" t="e">
        <f t="shared" si="47"/>
        <v>#REF!</v>
      </c>
      <c r="AI18" s="16"/>
      <c r="AJ18" s="16" t="e">
        <f t="shared" si="48"/>
        <v>#REF!</v>
      </c>
      <c r="AK18" s="16" t="e">
        <f t="shared" si="49"/>
        <v>#REF!</v>
      </c>
      <c r="AL18" s="27" t="e">
        <f>#REF!+#REF!+#REF!+#REF!+#REF!+O18+R18+U18+X18+AC18+AF18</f>
        <v>#REF!</v>
      </c>
      <c r="AM18" s="17" t="e">
        <f t="shared" si="50"/>
        <v>#REF!</v>
      </c>
      <c r="AN18" s="18" t="e">
        <f>Tableau47[[#This Row],[EP TOTALE]]+Tableau47[[#This Row],[INTERETS]]</f>
        <v>#REF!</v>
      </c>
    </row>
    <row r="19" spans="1:40">
      <c r="A19" s="5" t="s">
        <v>184</v>
      </c>
      <c r="B19" s="5">
        <f>((prets!B19)*(4/100))</f>
        <v>4000</v>
      </c>
      <c r="C19" s="16">
        <f>((PretsNet!D19)*(4/100))</f>
        <v>0</v>
      </c>
      <c r="D19" s="5">
        <f t="shared" si="5"/>
        <v>4000</v>
      </c>
      <c r="E19" s="16">
        <f>((prets!C19)*(4/100))</f>
        <v>4000</v>
      </c>
      <c r="F19" s="5" t="e">
        <f>((PretsNet!G19)*(4/100))</f>
        <v>#REF!</v>
      </c>
      <c r="G19" s="16">
        <f t="shared" si="32"/>
        <v>8000</v>
      </c>
      <c r="H19" s="16">
        <f>((prets!D19)*(4/100))</f>
        <v>4000</v>
      </c>
      <c r="I19" s="16" t="e">
        <f>((PretsNet!J19)*(4/100))</f>
        <v>#REF!</v>
      </c>
      <c r="J19" s="16" t="e">
        <f>+H19+#REF!</f>
        <v>#REF!</v>
      </c>
      <c r="K19" s="16" t="e">
        <f t="shared" si="33"/>
        <v>#REF!</v>
      </c>
      <c r="L19" s="16" t="e">
        <f>((PretsNet!M19)*(4/100))</f>
        <v>#REF!</v>
      </c>
      <c r="M19" s="16" t="e">
        <f>+K19+#REF!</f>
        <v>#REF!</v>
      </c>
      <c r="N19" s="16" t="e">
        <f t="shared" si="34"/>
        <v>#REF!</v>
      </c>
      <c r="O19" s="16"/>
      <c r="P19" s="16" t="e">
        <f t="shared" si="35"/>
        <v>#REF!</v>
      </c>
      <c r="Q19" s="16" t="e">
        <f t="shared" si="36"/>
        <v>#REF!</v>
      </c>
      <c r="R19" s="16"/>
      <c r="S19" s="16" t="e">
        <f t="shared" si="37"/>
        <v>#REF!</v>
      </c>
      <c r="T19" s="16" t="e">
        <f t="shared" si="38"/>
        <v>#REF!</v>
      </c>
      <c r="U19" s="16"/>
      <c r="V19" s="16" t="e">
        <f t="shared" si="39"/>
        <v>#REF!</v>
      </c>
      <c r="W19" s="16" t="e">
        <f t="shared" si="40"/>
        <v>#REF!</v>
      </c>
      <c r="X19" s="16"/>
      <c r="Y19" s="16" t="e">
        <f t="shared" si="41"/>
        <v>#REF!</v>
      </c>
      <c r="Z19" s="16" t="e">
        <f t="shared" si="42"/>
        <v>#REF!</v>
      </c>
      <c r="AA19" s="16" t="e">
        <f>((PretsNet!AB19)*(4/100))</f>
        <v>#REF!</v>
      </c>
      <c r="AB19" s="16" t="e">
        <f t="shared" si="43"/>
        <v>#REF!</v>
      </c>
      <c r="AC19" s="16"/>
      <c r="AD19" s="16" t="e">
        <f t="shared" si="44"/>
        <v>#REF!</v>
      </c>
      <c r="AE19" s="16" t="e">
        <f t="shared" si="45"/>
        <v>#REF!</v>
      </c>
      <c r="AF19" s="16"/>
      <c r="AG19" s="16" t="e">
        <f t="shared" si="46"/>
        <v>#REF!</v>
      </c>
      <c r="AH19" s="16" t="e">
        <f t="shared" si="47"/>
        <v>#REF!</v>
      </c>
      <c r="AI19" s="16"/>
      <c r="AJ19" s="16" t="e">
        <f t="shared" si="48"/>
        <v>#REF!</v>
      </c>
      <c r="AK19" s="16" t="e">
        <f t="shared" si="49"/>
        <v>#REF!</v>
      </c>
      <c r="AL19" s="27" t="e">
        <f>#REF!+#REF!+#REF!+#REF!+#REF!+O19+R19+U19+X19+AC19+AF19</f>
        <v>#REF!</v>
      </c>
      <c r="AM19" s="17" t="e">
        <f t="shared" si="50"/>
        <v>#REF!</v>
      </c>
      <c r="AN19" s="18" t="e">
        <f>Tableau47[[#This Row],[EP TOTALE]]+Tableau47[[#This Row],[INTERETS]]</f>
        <v>#REF!</v>
      </c>
    </row>
    <row r="20" spans="1:40">
      <c r="A20" s="22" t="s">
        <v>185</v>
      </c>
      <c r="B20" s="5">
        <f>((prets!B20)*(4/100))</f>
        <v>0</v>
      </c>
      <c r="C20" s="16">
        <f>((PretsNet!D20)*(4/100))</f>
        <v>0</v>
      </c>
      <c r="D20" s="5">
        <f t="shared" si="5"/>
        <v>0</v>
      </c>
      <c r="E20" s="16">
        <f>((prets!C20)*(4/100))</f>
        <v>0</v>
      </c>
      <c r="F20" s="5" t="e">
        <f>((PretsNet!G20)*(4/100))</f>
        <v>#REF!</v>
      </c>
      <c r="G20" s="16">
        <f t="shared" si="32"/>
        <v>0</v>
      </c>
      <c r="H20" s="16">
        <f>((prets!D20)*(4/100))</f>
        <v>0</v>
      </c>
      <c r="I20" s="16" t="e">
        <f>((PretsNet!J20)*(4/100))</f>
        <v>#REF!</v>
      </c>
      <c r="J20" s="16" t="e">
        <f>+H20+#REF!</f>
        <v>#REF!</v>
      </c>
      <c r="K20" s="16" t="e">
        <f t="shared" si="33"/>
        <v>#REF!</v>
      </c>
      <c r="L20" s="16" t="e">
        <f>((PretsNet!M20)*(4/100))</f>
        <v>#REF!</v>
      </c>
      <c r="M20" s="16" t="e">
        <f>+K20+#REF!</f>
        <v>#REF!</v>
      </c>
      <c r="N20" s="16" t="e">
        <f t="shared" si="34"/>
        <v>#REF!</v>
      </c>
      <c r="O20" s="16"/>
      <c r="P20" s="16" t="e">
        <f t="shared" si="35"/>
        <v>#REF!</v>
      </c>
      <c r="Q20" s="16" t="e">
        <f t="shared" si="36"/>
        <v>#REF!</v>
      </c>
      <c r="R20" s="16"/>
      <c r="S20" s="16" t="e">
        <f t="shared" si="37"/>
        <v>#REF!</v>
      </c>
      <c r="T20" s="16" t="e">
        <f t="shared" si="38"/>
        <v>#REF!</v>
      </c>
      <c r="U20" s="16"/>
      <c r="V20" s="16" t="e">
        <f t="shared" si="39"/>
        <v>#REF!</v>
      </c>
      <c r="W20" s="16" t="e">
        <f t="shared" si="40"/>
        <v>#REF!</v>
      </c>
      <c r="X20" s="16"/>
      <c r="Y20" s="16" t="e">
        <f t="shared" si="41"/>
        <v>#REF!</v>
      </c>
      <c r="Z20" s="16" t="e">
        <f t="shared" si="42"/>
        <v>#REF!</v>
      </c>
      <c r="AA20" s="16" t="e">
        <f>((PretsNet!AB20)*(4/100))</f>
        <v>#REF!</v>
      </c>
      <c r="AB20" s="16" t="e">
        <f t="shared" si="43"/>
        <v>#REF!</v>
      </c>
      <c r="AC20" s="16"/>
      <c r="AD20" s="16" t="e">
        <f t="shared" si="44"/>
        <v>#REF!</v>
      </c>
      <c r="AE20" s="16" t="e">
        <f t="shared" si="45"/>
        <v>#REF!</v>
      </c>
      <c r="AF20" s="16"/>
      <c r="AG20" s="16" t="e">
        <f t="shared" si="46"/>
        <v>#REF!</v>
      </c>
      <c r="AH20" s="16" t="e">
        <f t="shared" si="47"/>
        <v>#REF!</v>
      </c>
      <c r="AI20" s="16"/>
      <c r="AJ20" s="16" t="e">
        <f t="shared" si="48"/>
        <v>#REF!</v>
      </c>
      <c r="AK20" s="16" t="e">
        <f t="shared" si="49"/>
        <v>#REF!</v>
      </c>
      <c r="AL20" s="27" t="e">
        <f>#REF!+#REF!+#REF!+#REF!+#REF!+O20+R20+U20+X20+AC20+AF20</f>
        <v>#REF!</v>
      </c>
      <c r="AM20" s="17" t="e">
        <f t="shared" si="50"/>
        <v>#REF!</v>
      </c>
      <c r="AN20" s="18" t="e">
        <f>Tableau47[[#This Row],[EP TOTALE]]+Tableau47[[#This Row],[INTERETS]]</f>
        <v>#REF!</v>
      </c>
    </row>
    <row r="21" spans="1:40">
      <c r="A21" s="5" t="s">
        <v>186</v>
      </c>
      <c r="B21" s="5">
        <f>((prets!B21)*(4/100))</f>
        <v>0</v>
      </c>
      <c r="C21" s="16">
        <f>((PretsNet!D21)*(4/100))</f>
        <v>0</v>
      </c>
      <c r="D21" s="5">
        <f t="shared" si="5"/>
        <v>0</v>
      </c>
      <c r="E21" s="16">
        <f>((prets!C21)*(4/100))</f>
        <v>0</v>
      </c>
      <c r="F21" s="5">
        <f>((PretsNet!G21)*(4/100))</f>
        <v>-600</v>
      </c>
      <c r="G21" s="16">
        <f t="shared" si="32"/>
        <v>36800</v>
      </c>
      <c r="H21" s="16">
        <f>((prets!D21)*(4/100))</f>
        <v>36800</v>
      </c>
      <c r="I21" s="16" t="e">
        <f>((PretsNet!J21)*(4/100))</f>
        <v>#REF!</v>
      </c>
      <c r="J21" s="16" t="e">
        <f>+H21+#REF!</f>
        <v>#REF!</v>
      </c>
      <c r="K21" s="16" t="e">
        <f t="shared" si="33"/>
        <v>#REF!</v>
      </c>
      <c r="L21" s="16" t="e">
        <f>((PretsNet!M21)*(4/100))</f>
        <v>#REF!</v>
      </c>
      <c r="M21" s="16" t="e">
        <f>+K21+#REF!</f>
        <v>#REF!</v>
      </c>
      <c r="N21" s="16" t="e">
        <f t="shared" si="34"/>
        <v>#REF!</v>
      </c>
      <c r="O21" s="16"/>
      <c r="P21" s="16" t="e">
        <f t="shared" si="35"/>
        <v>#REF!</v>
      </c>
      <c r="Q21" s="16" t="e">
        <f t="shared" si="36"/>
        <v>#REF!</v>
      </c>
      <c r="R21" s="16"/>
      <c r="S21" s="16" t="e">
        <f t="shared" si="37"/>
        <v>#REF!</v>
      </c>
      <c r="T21" s="16" t="e">
        <f t="shared" si="38"/>
        <v>#REF!</v>
      </c>
      <c r="U21" s="16"/>
      <c r="V21" s="16" t="e">
        <f t="shared" si="39"/>
        <v>#REF!</v>
      </c>
      <c r="W21" s="16" t="e">
        <f t="shared" si="40"/>
        <v>#REF!</v>
      </c>
      <c r="X21" s="16"/>
      <c r="Y21" s="16" t="e">
        <f t="shared" si="41"/>
        <v>#REF!</v>
      </c>
      <c r="Z21" s="16" t="e">
        <f t="shared" si="42"/>
        <v>#REF!</v>
      </c>
      <c r="AA21" s="16" t="e">
        <f>((PretsNet!AB21)*(4/100))</f>
        <v>#REF!</v>
      </c>
      <c r="AB21" s="16" t="e">
        <f t="shared" si="43"/>
        <v>#REF!</v>
      </c>
      <c r="AC21" s="16"/>
      <c r="AD21" s="16" t="e">
        <f t="shared" si="44"/>
        <v>#REF!</v>
      </c>
      <c r="AE21" s="16" t="e">
        <f t="shared" si="45"/>
        <v>#REF!</v>
      </c>
      <c r="AF21" s="16"/>
      <c r="AG21" s="16" t="e">
        <f t="shared" si="46"/>
        <v>#REF!</v>
      </c>
      <c r="AH21" s="16" t="e">
        <f t="shared" si="47"/>
        <v>#REF!</v>
      </c>
      <c r="AI21" s="16"/>
      <c r="AJ21" s="16" t="e">
        <f t="shared" si="48"/>
        <v>#REF!</v>
      </c>
      <c r="AK21" s="16" t="e">
        <f t="shared" si="49"/>
        <v>#REF!</v>
      </c>
      <c r="AL21" s="27" t="e">
        <f>#REF!+#REF!+#REF!+#REF!+#REF!+O21+R21+U21+X21+AC21+AF21</f>
        <v>#REF!</v>
      </c>
      <c r="AM21" s="17" t="e">
        <f t="shared" si="50"/>
        <v>#REF!</v>
      </c>
      <c r="AN21" s="18" t="e">
        <f>Tableau47[[#This Row],[EP TOTALE]]+Tableau47[[#This Row],[INTERETS]]</f>
        <v>#REF!</v>
      </c>
    </row>
    <row r="22" spans="1:40">
      <c r="A22" s="22" t="s">
        <v>187</v>
      </c>
      <c r="B22" s="5">
        <f>((prets!B22)*(4/100))</f>
        <v>0</v>
      </c>
      <c r="C22" s="16">
        <f>((PretsNet!D22)*(4/100))</f>
        <v>0</v>
      </c>
      <c r="D22" s="5">
        <f t="shared" si="5"/>
        <v>0</v>
      </c>
      <c r="E22" s="16">
        <f>((prets!C22)*(4/100))</f>
        <v>0</v>
      </c>
      <c r="F22" s="5" t="e">
        <f>((PretsNet!G22)*(4/100))</f>
        <v>#REF!</v>
      </c>
      <c r="G22" s="16">
        <f t="shared" si="32"/>
        <v>0</v>
      </c>
      <c r="H22" s="16">
        <f>((prets!D22)*(4/100))</f>
        <v>0</v>
      </c>
      <c r="I22" s="16" t="e">
        <f>((PretsNet!J22)*(4/100))</f>
        <v>#REF!</v>
      </c>
      <c r="J22" s="16" t="e">
        <f>+H22+#REF!</f>
        <v>#REF!</v>
      </c>
      <c r="K22" s="16" t="e">
        <f t="shared" si="33"/>
        <v>#REF!</v>
      </c>
      <c r="L22" s="16" t="e">
        <f>((PretsNet!M22)*(4/100))</f>
        <v>#REF!</v>
      </c>
      <c r="M22" s="16" t="e">
        <f>+K22+#REF!</f>
        <v>#REF!</v>
      </c>
      <c r="N22" s="16" t="e">
        <f t="shared" si="34"/>
        <v>#REF!</v>
      </c>
      <c r="O22" s="16"/>
      <c r="P22" s="16" t="e">
        <f t="shared" si="35"/>
        <v>#REF!</v>
      </c>
      <c r="Q22" s="16" t="e">
        <f t="shared" si="36"/>
        <v>#REF!</v>
      </c>
      <c r="R22" s="16"/>
      <c r="S22" s="16" t="e">
        <f t="shared" si="37"/>
        <v>#REF!</v>
      </c>
      <c r="T22" s="16" t="e">
        <f t="shared" si="38"/>
        <v>#REF!</v>
      </c>
      <c r="U22" s="16"/>
      <c r="V22" s="16" t="e">
        <f t="shared" si="39"/>
        <v>#REF!</v>
      </c>
      <c r="W22" s="16" t="e">
        <f t="shared" si="40"/>
        <v>#REF!</v>
      </c>
      <c r="X22" s="16"/>
      <c r="Y22" s="16" t="e">
        <f t="shared" si="41"/>
        <v>#REF!</v>
      </c>
      <c r="Z22" s="16" t="e">
        <f t="shared" si="42"/>
        <v>#REF!</v>
      </c>
      <c r="AA22" s="16" t="e">
        <f>((PretsNet!AB22)*(4/100))</f>
        <v>#REF!</v>
      </c>
      <c r="AB22" s="16" t="e">
        <f t="shared" si="43"/>
        <v>#REF!</v>
      </c>
      <c r="AC22" s="16"/>
      <c r="AD22" s="16" t="e">
        <f t="shared" si="44"/>
        <v>#REF!</v>
      </c>
      <c r="AE22" s="16" t="e">
        <f t="shared" si="45"/>
        <v>#REF!</v>
      </c>
      <c r="AF22" s="16"/>
      <c r="AG22" s="16" t="e">
        <f t="shared" si="46"/>
        <v>#REF!</v>
      </c>
      <c r="AH22" s="16" t="e">
        <f t="shared" si="47"/>
        <v>#REF!</v>
      </c>
      <c r="AI22" s="16"/>
      <c r="AJ22" s="16" t="e">
        <f t="shared" si="48"/>
        <v>#REF!</v>
      </c>
      <c r="AK22" s="16" t="e">
        <f t="shared" si="49"/>
        <v>#REF!</v>
      </c>
      <c r="AL22" s="27" t="e">
        <f>#REF!+#REF!+#REF!+#REF!+#REF!+O22+R22+U22+X22+AC22+AF22</f>
        <v>#REF!</v>
      </c>
      <c r="AM22" s="17" t="e">
        <f t="shared" si="50"/>
        <v>#REF!</v>
      </c>
      <c r="AN22" s="18" t="e">
        <f>Tableau47[[#This Row],[EP TOTALE]]+Tableau47[[#This Row],[INTERETS]]</f>
        <v>#REF!</v>
      </c>
    </row>
    <row r="23" spans="1:40">
      <c r="A23" s="5" t="s">
        <v>188</v>
      </c>
      <c r="B23" s="5">
        <f>((prets!B23)*(4/100))</f>
        <v>0</v>
      </c>
      <c r="C23" s="16">
        <f>((PretsNet!D23)*(4/100))</f>
        <v>0</v>
      </c>
      <c r="D23" s="5">
        <f t="shared" si="5"/>
        <v>0</v>
      </c>
      <c r="E23" s="16">
        <f>((prets!C23)*(4/100))</f>
        <v>0</v>
      </c>
      <c r="F23" s="5" t="e">
        <f>((PretsNet!G23)*(4/100))</f>
        <v>#REF!</v>
      </c>
      <c r="G23" s="16">
        <f t="shared" si="32"/>
        <v>0</v>
      </c>
      <c r="H23" s="16">
        <f>((prets!D23)*(4/100))</f>
        <v>0</v>
      </c>
      <c r="I23" s="16" t="e">
        <f>((PretsNet!J23)*(4/100))</f>
        <v>#REF!</v>
      </c>
      <c r="J23" s="16" t="e">
        <f>+H23+#REF!</f>
        <v>#REF!</v>
      </c>
      <c r="K23" s="16" t="e">
        <f t="shared" si="33"/>
        <v>#REF!</v>
      </c>
      <c r="L23" s="16" t="e">
        <f>((PretsNet!M23)*(4/100))</f>
        <v>#REF!</v>
      </c>
      <c r="M23" s="16" t="e">
        <f>+K23+#REF!</f>
        <v>#REF!</v>
      </c>
      <c r="N23" s="16" t="e">
        <f t="shared" si="34"/>
        <v>#REF!</v>
      </c>
      <c r="O23" s="16"/>
      <c r="P23" s="16" t="e">
        <f t="shared" si="35"/>
        <v>#REF!</v>
      </c>
      <c r="Q23" s="16" t="e">
        <f t="shared" si="36"/>
        <v>#REF!</v>
      </c>
      <c r="R23" s="16"/>
      <c r="S23" s="16" t="e">
        <f t="shared" si="37"/>
        <v>#REF!</v>
      </c>
      <c r="T23" s="16" t="e">
        <f t="shared" si="38"/>
        <v>#REF!</v>
      </c>
      <c r="U23" s="16"/>
      <c r="V23" s="16" t="e">
        <f t="shared" si="39"/>
        <v>#REF!</v>
      </c>
      <c r="W23" s="16" t="e">
        <f t="shared" si="40"/>
        <v>#REF!</v>
      </c>
      <c r="X23" s="16"/>
      <c r="Y23" s="16" t="e">
        <f t="shared" si="41"/>
        <v>#REF!</v>
      </c>
      <c r="Z23" s="16" t="e">
        <f t="shared" si="42"/>
        <v>#REF!</v>
      </c>
      <c r="AA23" s="16" t="e">
        <f>((PretsNet!AB23)*(4/100))</f>
        <v>#REF!</v>
      </c>
      <c r="AB23" s="16" t="e">
        <f t="shared" si="43"/>
        <v>#REF!</v>
      </c>
      <c r="AC23" s="16"/>
      <c r="AD23" s="16" t="e">
        <f t="shared" si="44"/>
        <v>#REF!</v>
      </c>
      <c r="AE23" s="16" t="e">
        <f t="shared" si="45"/>
        <v>#REF!</v>
      </c>
      <c r="AF23" s="16"/>
      <c r="AG23" s="16" t="e">
        <f t="shared" si="46"/>
        <v>#REF!</v>
      </c>
      <c r="AH23" s="16" t="e">
        <f t="shared" si="47"/>
        <v>#REF!</v>
      </c>
      <c r="AI23" s="16"/>
      <c r="AJ23" s="16" t="e">
        <f t="shared" si="48"/>
        <v>#REF!</v>
      </c>
      <c r="AK23" s="16" t="e">
        <f t="shared" si="49"/>
        <v>#REF!</v>
      </c>
      <c r="AL23" s="27" t="e">
        <f>#REF!+#REF!+#REF!+#REF!+#REF!+O23+R23+U23+X23+AC23+AF23</f>
        <v>#REF!</v>
      </c>
      <c r="AM23" s="17" t="e">
        <f t="shared" si="50"/>
        <v>#REF!</v>
      </c>
      <c r="AN23" s="18" t="e">
        <f>Tableau47[[#This Row],[EP TOTALE]]+Tableau47[[#This Row],[INTERETS]]</f>
        <v>#REF!</v>
      </c>
    </row>
    <row r="24" spans="1:40">
      <c r="A24" s="22" t="s">
        <v>189</v>
      </c>
      <c r="B24" s="5">
        <f>((prets!B24)*(4/100))</f>
        <v>10000</v>
      </c>
      <c r="C24" s="16">
        <f>((PretsNet!D16)*(4/100))</f>
        <v>0</v>
      </c>
      <c r="D24" s="5">
        <f t="shared" si="5"/>
        <v>10000</v>
      </c>
      <c r="E24" s="16">
        <f>((prets!C16)*(4/100))</f>
        <v>0</v>
      </c>
      <c r="F24" s="5">
        <f>((PretsNet!G24)*(4/100))</f>
        <v>0</v>
      </c>
      <c r="G24" s="16">
        <f t="shared" si="13"/>
        <v>0</v>
      </c>
      <c r="H24" s="16">
        <f>((prets!D16)*(4/100))</f>
        <v>0</v>
      </c>
      <c r="I24" s="16" t="e">
        <f>((PretsNet!J16)*(4/100))</f>
        <v>#REF!</v>
      </c>
      <c r="J24" s="16" t="e">
        <f>+H24+#REF!</f>
        <v>#REF!</v>
      </c>
      <c r="K24" s="16" t="e">
        <f t="shared" si="14"/>
        <v>#REF!</v>
      </c>
      <c r="L24" s="16" t="e">
        <f>((PretsNet!M16)*(4/100))</f>
        <v>#REF!</v>
      </c>
      <c r="M24" s="16" t="e">
        <f>+K24+#REF!</f>
        <v>#REF!</v>
      </c>
      <c r="N24" s="16" t="e">
        <f t="shared" si="15"/>
        <v>#REF!</v>
      </c>
      <c r="O24" s="16"/>
      <c r="P24" s="16" t="e">
        <f t="shared" si="16"/>
        <v>#REF!</v>
      </c>
      <c r="Q24" s="16" t="e">
        <f t="shared" si="17"/>
        <v>#REF!</v>
      </c>
      <c r="R24" s="16"/>
      <c r="S24" s="16" t="e">
        <f t="shared" si="18"/>
        <v>#REF!</v>
      </c>
      <c r="T24" s="16" t="e">
        <f t="shared" si="19"/>
        <v>#REF!</v>
      </c>
      <c r="U24" s="16"/>
      <c r="V24" s="16" t="e">
        <f t="shared" si="20"/>
        <v>#REF!</v>
      </c>
      <c r="W24" s="16" t="e">
        <f t="shared" si="21"/>
        <v>#REF!</v>
      </c>
      <c r="X24" s="16"/>
      <c r="Y24" s="16" t="e">
        <f t="shared" si="22"/>
        <v>#REF!</v>
      </c>
      <c r="Z24" s="16" t="e">
        <f t="shared" si="23"/>
        <v>#REF!</v>
      </c>
      <c r="AA24" s="16" t="e">
        <f>((PretsNet!AB16)*(4/100))</f>
        <v>#REF!</v>
      </c>
      <c r="AB24" s="16" t="e">
        <f t="shared" si="24"/>
        <v>#REF!</v>
      </c>
      <c r="AC24" s="16"/>
      <c r="AD24" s="16" t="e">
        <f t="shared" si="25"/>
        <v>#REF!</v>
      </c>
      <c r="AE24" s="16" t="e">
        <f t="shared" si="26"/>
        <v>#REF!</v>
      </c>
      <c r="AF24" s="16"/>
      <c r="AG24" s="16" t="e">
        <f t="shared" si="27"/>
        <v>#REF!</v>
      </c>
      <c r="AH24" s="16" t="e">
        <f t="shared" si="28"/>
        <v>#REF!</v>
      </c>
      <c r="AI24" s="16"/>
      <c r="AJ24" s="16" t="e">
        <f t="shared" si="29"/>
        <v>#REF!</v>
      </c>
      <c r="AK24" s="16" t="e">
        <f t="shared" si="30"/>
        <v>#REF!</v>
      </c>
      <c r="AL24" s="27" t="e">
        <f>#REF!+#REF!+#REF!+#REF!+#REF!+O24+R24+U24+X24+AC24+AF24</f>
        <v>#REF!</v>
      </c>
      <c r="AM24" s="17" t="e">
        <f t="shared" si="31"/>
        <v>#REF!</v>
      </c>
      <c r="AN24" s="18" t="e">
        <f>Tableau47[[#This Row],[EP TOTALE]]+Tableau47[[#This Row],[INTERETS]]</f>
        <v>#REF!</v>
      </c>
    </row>
    <row r="25" spans="1:40">
      <c r="A25" s="5" t="s">
        <v>190</v>
      </c>
      <c r="B25" s="5">
        <f>((prets!B25)*(4/100))</f>
        <v>0</v>
      </c>
      <c r="C25" s="16">
        <f>((PretsNet!D17)*(4/100))</f>
        <v>0</v>
      </c>
      <c r="D25" s="5">
        <f t="shared" si="5"/>
        <v>0</v>
      </c>
      <c r="E25" s="16">
        <f>((prets!C17)*(4/100))</f>
        <v>0</v>
      </c>
      <c r="F25" s="5" t="e">
        <f>((PretsNet!G25)*(4/100))</f>
        <v>#REF!</v>
      </c>
      <c r="G25" s="16">
        <f t="shared" si="13"/>
        <v>0</v>
      </c>
      <c r="H25" s="16">
        <f>((prets!D17)*(4/100))</f>
        <v>0</v>
      </c>
      <c r="I25" s="16" t="e">
        <f>((PretsNet!J17)*(4/100))</f>
        <v>#REF!</v>
      </c>
      <c r="J25" s="16" t="e">
        <f>+H25+#REF!</f>
        <v>#REF!</v>
      </c>
      <c r="K25" s="16" t="e">
        <f t="shared" si="14"/>
        <v>#REF!</v>
      </c>
      <c r="L25" s="16" t="e">
        <f>((PretsNet!M17)*(4/100))</f>
        <v>#REF!</v>
      </c>
      <c r="M25" s="16" t="e">
        <f>+K25+#REF!</f>
        <v>#REF!</v>
      </c>
      <c r="N25" s="16" t="e">
        <f t="shared" si="15"/>
        <v>#REF!</v>
      </c>
      <c r="O25" s="16"/>
      <c r="P25" s="16" t="e">
        <f t="shared" si="16"/>
        <v>#REF!</v>
      </c>
      <c r="Q25" s="16" t="e">
        <f t="shared" si="17"/>
        <v>#REF!</v>
      </c>
      <c r="R25" s="16"/>
      <c r="S25" s="16" t="e">
        <f t="shared" si="18"/>
        <v>#REF!</v>
      </c>
      <c r="T25" s="16" t="e">
        <f t="shared" si="19"/>
        <v>#REF!</v>
      </c>
      <c r="U25" s="16"/>
      <c r="V25" s="16" t="e">
        <f t="shared" si="20"/>
        <v>#REF!</v>
      </c>
      <c r="W25" s="16" t="e">
        <f t="shared" si="21"/>
        <v>#REF!</v>
      </c>
      <c r="X25" s="16"/>
      <c r="Y25" s="16" t="e">
        <f t="shared" si="22"/>
        <v>#REF!</v>
      </c>
      <c r="Z25" s="16" t="e">
        <f t="shared" si="23"/>
        <v>#REF!</v>
      </c>
      <c r="AA25" s="16" t="e">
        <f>((PretsNet!AB17)*(4/100))</f>
        <v>#REF!</v>
      </c>
      <c r="AB25" s="16" t="e">
        <f t="shared" si="24"/>
        <v>#REF!</v>
      </c>
      <c r="AC25" s="16"/>
      <c r="AD25" s="16" t="e">
        <f t="shared" si="25"/>
        <v>#REF!</v>
      </c>
      <c r="AE25" s="16" t="e">
        <f t="shared" si="26"/>
        <v>#REF!</v>
      </c>
      <c r="AF25" s="16"/>
      <c r="AG25" s="16" t="e">
        <f t="shared" si="27"/>
        <v>#REF!</v>
      </c>
      <c r="AH25" s="16" t="e">
        <f t="shared" si="28"/>
        <v>#REF!</v>
      </c>
      <c r="AI25" s="16"/>
      <c r="AJ25" s="16" t="e">
        <f t="shared" si="29"/>
        <v>#REF!</v>
      </c>
      <c r="AK25" s="16" t="e">
        <f t="shared" si="30"/>
        <v>#REF!</v>
      </c>
      <c r="AL25" s="27" t="e">
        <f>#REF!+#REF!+#REF!+#REF!+#REF!+O25+R25+U25+X25+AC25+AF25</f>
        <v>#REF!</v>
      </c>
      <c r="AM25" s="17" t="e">
        <f t="shared" si="31"/>
        <v>#REF!</v>
      </c>
      <c r="AN25" s="18" t="e">
        <f>Tableau47[[#This Row],[EP TOTALE]]+Tableau47[[#This Row],[INTERETS]]</f>
        <v>#REF!</v>
      </c>
    </row>
    <row r="26" spans="1:40">
      <c r="A26" s="22" t="s">
        <v>191</v>
      </c>
      <c r="B26" s="5">
        <f>((prets!B26)*(4/100))</f>
        <v>0</v>
      </c>
      <c r="C26" s="16">
        <f>((PretsNet!D18)*(4/100))</f>
        <v>0</v>
      </c>
      <c r="D26" s="5">
        <f t="shared" si="5"/>
        <v>0</v>
      </c>
      <c r="E26" s="16">
        <f>((prets!C18)*(4/100))</f>
        <v>0</v>
      </c>
      <c r="F26" s="5" t="e">
        <f>((PretsNet!G26)*(4/100))</f>
        <v>#REF!</v>
      </c>
      <c r="G26" s="16">
        <f t="shared" si="13"/>
        <v>8000</v>
      </c>
      <c r="H26" s="16">
        <f>((prets!D18)*(4/100))</f>
        <v>8000</v>
      </c>
      <c r="I26" s="16" t="e">
        <f>((PretsNet!J18)*(4/100))</f>
        <v>#REF!</v>
      </c>
      <c r="J26" s="16" t="e">
        <f>+H26+#REF!</f>
        <v>#REF!</v>
      </c>
      <c r="K26" s="16" t="e">
        <f t="shared" si="14"/>
        <v>#REF!</v>
      </c>
      <c r="L26" s="16" t="e">
        <f>((PretsNet!M18)*(4/100))</f>
        <v>#REF!</v>
      </c>
      <c r="M26" s="16" t="e">
        <f>+K26+#REF!</f>
        <v>#REF!</v>
      </c>
      <c r="N26" s="16" t="e">
        <f t="shared" si="15"/>
        <v>#REF!</v>
      </c>
      <c r="O26" s="16"/>
      <c r="P26" s="16" t="e">
        <f t="shared" si="16"/>
        <v>#REF!</v>
      </c>
      <c r="Q26" s="16" t="e">
        <f t="shared" si="17"/>
        <v>#REF!</v>
      </c>
      <c r="R26" s="16"/>
      <c r="S26" s="16" t="e">
        <f t="shared" si="18"/>
        <v>#REF!</v>
      </c>
      <c r="T26" s="16" t="e">
        <f t="shared" si="19"/>
        <v>#REF!</v>
      </c>
      <c r="U26" s="16"/>
      <c r="V26" s="16" t="e">
        <f t="shared" si="20"/>
        <v>#REF!</v>
      </c>
      <c r="W26" s="16" t="e">
        <f t="shared" si="21"/>
        <v>#REF!</v>
      </c>
      <c r="X26" s="16"/>
      <c r="Y26" s="16" t="e">
        <f t="shared" si="22"/>
        <v>#REF!</v>
      </c>
      <c r="Z26" s="16" t="e">
        <f t="shared" si="23"/>
        <v>#REF!</v>
      </c>
      <c r="AA26" s="16" t="e">
        <f>((PretsNet!AB18)*(4/100))</f>
        <v>#REF!</v>
      </c>
      <c r="AB26" s="16" t="e">
        <f t="shared" si="24"/>
        <v>#REF!</v>
      </c>
      <c r="AC26" s="16"/>
      <c r="AD26" s="16" t="e">
        <f t="shared" si="25"/>
        <v>#REF!</v>
      </c>
      <c r="AE26" s="16" t="e">
        <f t="shared" si="26"/>
        <v>#REF!</v>
      </c>
      <c r="AF26" s="16"/>
      <c r="AG26" s="16" t="e">
        <f t="shared" si="27"/>
        <v>#REF!</v>
      </c>
      <c r="AH26" s="16" t="e">
        <f t="shared" si="28"/>
        <v>#REF!</v>
      </c>
      <c r="AI26" s="16"/>
      <c r="AJ26" s="16" t="e">
        <f t="shared" si="29"/>
        <v>#REF!</v>
      </c>
      <c r="AK26" s="16" t="e">
        <f t="shared" si="30"/>
        <v>#REF!</v>
      </c>
      <c r="AL26" s="27" t="e">
        <f>#REF!+#REF!+#REF!+#REF!+#REF!+O26+R26+U26+X26+AC26+AF26</f>
        <v>#REF!</v>
      </c>
      <c r="AM26" s="17" t="e">
        <f t="shared" si="31"/>
        <v>#REF!</v>
      </c>
      <c r="AN26" s="18" t="e">
        <f>Tableau47[[#This Row],[EP TOTALE]]+Tableau47[[#This Row],[INTERETS]]</f>
        <v>#REF!</v>
      </c>
    </row>
    <row r="27" spans="1:40">
      <c r="A27" s="5" t="s">
        <v>192</v>
      </c>
      <c r="B27" s="5">
        <f>((prets!B27)*(4/100))</f>
        <v>0</v>
      </c>
      <c r="C27" s="16">
        <f>((PretsNet!D19)*(4/100))</f>
        <v>0</v>
      </c>
      <c r="D27" s="5">
        <f t="shared" si="5"/>
        <v>0</v>
      </c>
      <c r="E27" s="16">
        <f>((prets!C19)*(4/100))</f>
        <v>4000</v>
      </c>
      <c r="F27" s="5">
        <f>((PretsNet!G27)*(4/100))</f>
        <v>0</v>
      </c>
      <c r="G27" s="16">
        <f t="shared" si="13"/>
        <v>8000</v>
      </c>
      <c r="H27" s="16">
        <f>((prets!D19)*(4/100))</f>
        <v>4000</v>
      </c>
      <c r="I27" s="16" t="e">
        <f>((PretsNet!J19)*(4/100))</f>
        <v>#REF!</v>
      </c>
      <c r="J27" s="16" t="e">
        <f>+H27+#REF!</f>
        <v>#REF!</v>
      </c>
      <c r="K27" s="16" t="e">
        <f t="shared" si="14"/>
        <v>#REF!</v>
      </c>
      <c r="L27" s="16" t="e">
        <f>((PretsNet!M19)*(4/100))</f>
        <v>#REF!</v>
      </c>
      <c r="M27" s="16" t="e">
        <f>+K27+#REF!</f>
        <v>#REF!</v>
      </c>
      <c r="N27" s="16" t="e">
        <f t="shared" si="15"/>
        <v>#REF!</v>
      </c>
      <c r="O27" s="16"/>
      <c r="P27" s="16" t="e">
        <f t="shared" si="16"/>
        <v>#REF!</v>
      </c>
      <c r="Q27" s="16" t="e">
        <f t="shared" si="17"/>
        <v>#REF!</v>
      </c>
      <c r="R27" s="16"/>
      <c r="S27" s="16" t="e">
        <f t="shared" si="18"/>
        <v>#REF!</v>
      </c>
      <c r="T27" s="16" t="e">
        <f t="shared" si="19"/>
        <v>#REF!</v>
      </c>
      <c r="U27" s="16"/>
      <c r="V27" s="16" t="e">
        <f t="shared" si="20"/>
        <v>#REF!</v>
      </c>
      <c r="W27" s="16" t="e">
        <f t="shared" si="21"/>
        <v>#REF!</v>
      </c>
      <c r="X27" s="16"/>
      <c r="Y27" s="16" t="e">
        <f t="shared" si="22"/>
        <v>#REF!</v>
      </c>
      <c r="Z27" s="16" t="e">
        <f t="shared" si="23"/>
        <v>#REF!</v>
      </c>
      <c r="AA27" s="16" t="e">
        <f>((PretsNet!AB19)*(4/100))</f>
        <v>#REF!</v>
      </c>
      <c r="AB27" s="16" t="e">
        <f t="shared" si="24"/>
        <v>#REF!</v>
      </c>
      <c r="AC27" s="16"/>
      <c r="AD27" s="16" t="e">
        <f t="shared" si="25"/>
        <v>#REF!</v>
      </c>
      <c r="AE27" s="16" t="e">
        <f t="shared" si="26"/>
        <v>#REF!</v>
      </c>
      <c r="AF27" s="16"/>
      <c r="AG27" s="16" t="e">
        <f t="shared" si="27"/>
        <v>#REF!</v>
      </c>
      <c r="AH27" s="16" t="e">
        <f t="shared" si="28"/>
        <v>#REF!</v>
      </c>
      <c r="AI27" s="16"/>
      <c r="AJ27" s="16" t="e">
        <f t="shared" si="29"/>
        <v>#REF!</v>
      </c>
      <c r="AK27" s="16" t="e">
        <f t="shared" si="30"/>
        <v>#REF!</v>
      </c>
      <c r="AL27" s="27" t="e">
        <f>#REF!+#REF!+#REF!+#REF!+#REF!+O27+R27+U27+X27+AC27+AF27</f>
        <v>#REF!</v>
      </c>
      <c r="AM27" s="17" t="e">
        <f t="shared" si="31"/>
        <v>#REF!</v>
      </c>
      <c r="AN27" s="18" t="e">
        <f>Tableau47[[#This Row],[EP TOTALE]]+Tableau47[[#This Row],[INTERETS]]</f>
        <v>#REF!</v>
      </c>
    </row>
    <row r="28" spans="1:40">
      <c r="A28" s="22" t="s">
        <v>193</v>
      </c>
      <c r="B28" s="5">
        <f>((prets!B28)*(4/100))</f>
        <v>8000</v>
      </c>
      <c r="C28" s="16">
        <f>((PretsNet!D20)*(4/100))</f>
        <v>0</v>
      </c>
      <c r="D28" s="5">
        <f t="shared" si="5"/>
        <v>8000</v>
      </c>
      <c r="E28" s="16">
        <f>((prets!C20)*(4/100))</f>
        <v>0</v>
      </c>
      <c r="F28" s="5">
        <f>((PretsNet!G28)*(4/100))</f>
        <v>0</v>
      </c>
      <c r="G28" s="16">
        <f t="shared" si="13"/>
        <v>0</v>
      </c>
      <c r="H28" s="16">
        <f>((prets!D20)*(4/100))</f>
        <v>0</v>
      </c>
      <c r="I28" s="16" t="e">
        <f>((PretsNet!J20)*(4/100))</f>
        <v>#REF!</v>
      </c>
      <c r="J28" s="16" t="e">
        <f>+H28+#REF!</f>
        <v>#REF!</v>
      </c>
      <c r="K28" s="16" t="e">
        <f t="shared" si="14"/>
        <v>#REF!</v>
      </c>
      <c r="L28" s="16" t="e">
        <f>((PretsNet!M20)*(4/100))</f>
        <v>#REF!</v>
      </c>
      <c r="M28" s="16" t="e">
        <f>+K28+#REF!</f>
        <v>#REF!</v>
      </c>
      <c r="N28" s="16" t="e">
        <f t="shared" si="15"/>
        <v>#REF!</v>
      </c>
      <c r="O28" s="16"/>
      <c r="P28" s="16" t="e">
        <f t="shared" si="16"/>
        <v>#REF!</v>
      </c>
      <c r="Q28" s="16" t="e">
        <f t="shared" si="17"/>
        <v>#REF!</v>
      </c>
      <c r="R28" s="16"/>
      <c r="S28" s="16" t="e">
        <f t="shared" si="18"/>
        <v>#REF!</v>
      </c>
      <c r="T28" s="16" t="e">
        <f t="shared" si="19"/>
        <v>#REF!</v>
      </c>
      <c r="U28" s="16"/>
      <c r="V28" s="16" t="e">
        <f t="shared" si="20"/>
        <v>#REF!</v>
      </c>
      <c r="W28" s="16" t="e">
        <f t="shared" si="21"/>
        <v>#REF!</v>
      </c>
      <c r="X28" s="16"/>
      <c r="Y28" s="16" t="e">
        <f t="shared" si="22"/>
        <v>#REF!</v>
      </c>
      <c r="Z28" s="16" t="e">
        <f t="shared" si="23"/>
        <v>#REF!</v>
      </c>
      <c r="AA28" s="16" t="e">
        <f>((PretsNet!AB20)*(4/100))</f>
        <v>#REF!</v>
      </c>
      <c r="AB28" s="16" t="e">
        <f t="shared" si="24"/>
        <v>#REF!</v>
      </c>
      <c r="AC28" s="16"/>
      <c r="AD28" s="16" t="e">
        <f t="shared" si="25"/>
        <v>#REF!</v>
      </c>
      <c r="AE28" s="16" t="e">
        <f t="shared" si="26"/>
        <v>#REF!</v>
      </c>
      <c r="AF28" s="16"/>
      <c r="AG28" s="16" t="e">
        <f t="shared" si="27"/>
        <v>#REF!</v>
      </c>
      <c r="AH28" s="16" t="e">
        <f t="shared" si="28"/>
        <v>#REF!</v>
      </c>
      <c r="AI28" s="16"/>
      <c r="AJ28" s="16" t="e">
        <f t="shared" si="29"/>
        <v>#REF!</v>
      </c>
      <c r="AK28" s="16" t="e">
        <f t="shared" si="30"/>
        <v>#REF!</v>
      </c>
      <c r="AL28" s="27" t="e">
        <f>#REF!+#REF!+#REF!+#REF!+#REF!+O28+R28+U28+X28+AC28+AF28</f>
        <v>#REF!</v>
      </c>
      <c r="AM28" s="17" t="e">
        <f t="shared" si="31"/>
        <v>#REF!</v>
      </c>
      <c r="AN28" s="18" t="e">
        <f>Tableau47[[#This Row],[EP TOTALE]]+Tableau47[[#This Row],[INTERETS]]</f>
        <v>#REF!</v>
      </c>
    </row>
    <row r="29" spans="1:40">
      <c r="A29" s="5" t="s">
        <v>194</v>
      </c>
      <c r="B29" s="5">
        <f>((prets!B29)*(4/100))</f>
        <v>0</v>
      </c>
      <c r="C29" s="16">
        <f>((PretsNet!D21)*(4/100))</f>
        <v>0</v>
      </c>
      <c r="D29" s="5">
        <f t="shared" si="5"/>
        <v>0</v>
      </c>
      <c r="E29" s="16">
        <f>((prets!C21)*(4/100))</f>
        <v>0</v>
      </c>
      <c r="F29" s="5">
        <f>((PretsNet!G29)*(4/100))</f>
        <v>0</v>
      </c>
      <c r="G29" s="16">
        <f t="shared" si="13"/>
        <v>36800</v>
      </c>
      <c r="H29" s="16">
        <f>((prets!D21)*(4/100))</f>
        <v>36800</v>
      </c>
      <c r="I29" s="16" t="e">
        <f>((PretsNet!J21)*(4/100))</f>
        <v>#REF!</v>
      </c>
      <c r="J29" s="16" t="e">
        <f>+H29+#REF!</f>
        <v>#REF!</v>
      </c>
      <c r="K29" s="16" t="e">
        <f t="shared" si="14"/>
        <v>#REF!</v>
      </c>
      <c r="L29" s="16" t="e">
        <f>((PretsNet!M21)*(4/100))</f>
        <v>#REF!</v>
      </c>
      <c r="M29" s="16" t="e">
        <f>+K29+#REF!</f>
        <v>#REF!</v>
      </c>
      <c r="N29" s="16" t="e">
        <f t="shared" si="15"/>
        <v>#REF!</v>
      </c>
      <c r="O29" s="16"/>
      <c r="P29" s="16" t="e">
        <f t="shared" si="16"/>
        <v>#REF!</v>
      </c>
      <c r="Q29" s="16" t="e">
        <f t="shared" si="17"/>
        <v>#REF!</v>
      </c>
      <c r="R29" s="16"/>
      <c r="S29" s="16" t="e">
        <f t="shared" si="18"/>
        <v>#REF!</v>
      </c>
      <c r="T29" s="16" t="e">
        <f t="shared" si="19"/>
        <v>#REF!</v>
      </c>
      <c r="U29" s="16"/>
      <c r="V29" s="16" t="e">
        <f t="shared" si="20"/>
        <v>#REF!</v>
      </c>
      <c r="W29" s="16" t="e">
        <f t="shared" si="21"/>
        <v>#REF!</v>
      </c>
      <c r="X29" s="16"/>
      <c r="Y29" s="16" t="e">
        <f t="shared" si="22"/>
        <v>#REF!</v>
      </c>
      <c r="Z29" s="16" t="e">
        <f t="shared" si="23"/>
        <v>#REF!</v>
      </c>
      <c r="AA29" s="16" t="e">
        <f>((PretsNet!AB21)*(4/100))</f>
        <v>#REF!</v>
      </c>
      <c r="AB29" s="16" t="e">
        <f t="shared" si="24"/>
        <v>#REF!</v>
      </c>
      <c r="AC29" s="16"/>
      <c r="AD29" s="16" t="e">
        <f t="shared" si="25"/>
        <v>#REF!</v>
      </c>
      <c r="AE29" s="16" t="e">
        <f t="shared" si="26"/>
        <v>#REF!</v>
      </c>
      <c r="AF29" s="16"/>
      <c r="AG29" s="16" t="e">
        <f t="shared" si="27"/>
        <v>#REF!</v>
      </c>
      <c r="AH29" s="16" t="e">
        <f t="shared" si="28"/>
        <v>#REF!</v>
      </c>
      <c r="AI29" s="16"/>
      <c r="AJ29" s="16" t="e">
        <f t="shared" si="29"/>
        <v>#REF!</v>
      </c>
      <c r="AK29" s="16" t="e">
        <f t="shared" si="30"/>
        <v>#REF!</v>
      </c>
      <c r="AL29" s="27" t="e">
        <f>#REF!+#REF!+#REF!+#REF!+#REF!+O29+R29+U29+X29+AC29+AF29</f>
        <v>#REF!</v>
      </c>
      <c r="AM29" s="17" t="e">
        <f t="shared" si="31"/>
        <v>#REF!</v>
      </c>
      <c r="AN29" s="18" t="e">
        <f>Tableau47[[#This Row],[EP TOTALE]]+Tableau47[[#This Row],[INTERETS]]</f>
        <v>#REF!</v>
      </c>
    </row>
    <row r="30" spans="1:40">
      <c r="A30" s="22" t="s">
        <v>195</v>
      </c>
      <c r="B30" s="5">
        <f>((prets!B30)*(4/100))</f>
        <v>0</v>
      </c>
      <c r="C30" s="16">
        <f>((PretsNet!D22)*(4/100))</f>
        <v>0</v>
      </c>
      <c r="D30" s="5">
        <f t="shared" si="5"/>
        <v>0</v>
      </c>
      <c r="E30" s="16">
        <f>((prets!C22)*(4/100))</f>
        <v>0</v>
      </c>
      <c r="F30" s="5">
        <f>((PretsNet!G30)*(4/100))</f>
        <v>0</v>
      </c>
      <c r="G30" s="16">
        <f t="shared" si="13"/>
        <v>0</v>
      </c>
      <c r="H30" s="16">
        <f>((prets!D22)*(4/100))</f>
        <v>0</v>
      </c>
      <c r="I30" s="16" t="e">
        <f>((PretsNet!J22)*(4/100))</f>
        <v>#REF!</v>
      </c>
      <c r="J30" s="16" t="e">
        <f>+H30+#REF!</f>
        <v>#REF!</v>
      </c>
      <c r="K30" s="16" t="e">
        <f t="shared" si="14"/>
        <v>#REF!</v>
      </c>
      <c r="L30" s="16" t="e">
        <f>((PretsNet!M22)*(4/100))</f>
        <v>#REF!</v>
      </c>
      <c r="M30" s="16" t="e">
        <f>+K30+#REF!</f>
        <v>#REF!</v>
      </c>
      <c r="N30" s="16" t="e">
        <f t="shared" si="15"/>
        <v>#REF!</v>
      </c>
      <c r="O30" s="16"/>
      <c r="P30" s="16" t="e">
        <f t="shared" si="16"/>
        <v>#REF!</v>
      </c>
      <c r="Q30" s="16" t="e">
        <f t="shared" si="17"/>
        <v>#REF!</v>
      </c>
      <c r="R30" s="16"/>
      <c r="S30" s="16" t="e">
        <f t="shared" si="18"/>
        <v>#REF!</v>
      </c>
      <c r="T30" s="16" t="e">
        <f t="shared" si="19"/>
        <v>#REF!</v>
      </c>
      <c r="U30" s="16"/>
      <c r="V30" s="16" t="e">
        <f t="shared" si="20"/>
        <v>#REF!</v>
      </c>
      <c r="W30" s="16" t="e">
        <f t="shared" si="21"/>
        <v>#REF!</v>
      </c>
      <c r="X30" s="16"/>
      <c r="Y30" s="16" t="e">
        <f t="shared" si="22"/>
        <v>#REF!</v>
      </c>
      <c r="Z30" s="16" t="e">
        <f t="shared" si="23"/>
        <v>#REF!</v>
      </c>
      <c r="AA30" s="16" t="e">
        <f>((PretsNet!AB22)*(4/100))</f>
        <v>#REF!</v>
      </c>
      <c r="AB30" s="16" t="e">
        <f t="shared" si="24"/>
        <v>#REF!</v>
      </c>
      <c r="AC30" s="16"/>
      <c r="AD30" s="16" t="e">
        <f t="shared" si="25"/>
        <v>#REF!</v>
      </c>
      <c r="AE30" s="16" t="e">
        <f t="shared" si="26"/>
        <v>#REF!</v>
      </c>
      <c r="AF30" s="16"/>
      <c r="AG30" s="16" t="e">
        <f t="shared" si="27"/>
        <v>#REF!</v>
      </c>
      <c r="AH30" s="16" t="e">
        <f t="shared" si="28"/>
        <v>#REF!</v>
      </c>
      <c r="AI30" s="16"/>
      <c r="AJ30" s="16" t="e">
        <f t="shared" si="29"/>
        <v>#REF!</v>
      </c>
      <c r="AK30" s="16" t="e">
        <f t="shared" si="30"/>
        <v>#REF!</v>
      </c>
      <c r="AL30" s="27" t="e">
        <f>#REF!+#REF!+#REF!+#REF!+#REF!+O30+R30+U30+X30+AC30+AF30</f>
        <v>#REF!</v>
      </c>
      <c r="AM30" s="17" t="e">
        <f t="shared" si="31"/>
        <v>#REF!</v>
      </c>
      <c r="AN30" s="18" t="e">
        <f>Tableau47[[#This Row],[EP TOTALE]]+Tableau47[[#This Row],[INTERETS]]</f>
        <v>#REF!</v>
      </c>
    </row>
    <row r="31" spans="1:40">
      <c r="A31" s="5" t="s">
        <v>196</v>
      </c>
      <c r="B31" s="5">
        <f>((prets!B31)*(4/100))</f>
        <v>0</v>
      </c>
      <c r="C31" s="16">
        <f>((PretsNet!D23)*(4/100))</f>
        <v>0</v>
      </c>
      <c r="D31" s="5">
        <f t="shared" si="5"/>
        <v>0</v>
      </c>
      <c r="E31" s="16">
        <f>((prets!C23)*(4/100))</f>
        <v>0</v>
      </c>
      <c r="F31" s="5">
        <f>((PretsNet!G31)*(4/100))</f>
        <v>0</v>
      </c>
      <c r="G31" s="16">
        <f t="shared" si="13"/>
        <v>0</v>
      </c>
      <c r="H31" s="16">
        <f>((prets!D23)*(4/100))</f>
        <v>0</v>
      </c>
      <c r="I31" s="16" t="e">
        <f>((PretsNet!J23)*(4/100))</f>
        <v>#REF!</v>
      </c>
      <c r="J31" s="16" t="e">
        <f>+H31+#REF!</f>
        <v>#REF!</v>
      </c>
      <c r="K31" s="16" t="e">
        <f t="shared" si="14"/>
        <v>#REF!</v>
      </c>
      <c r="L31" s="16" t="e">
        <f>((PretsNet!M23)*(4/100))</f>
        <v>#REF!</v>
      </c>
      <c r="M31" s="16" t="e">
        <f>+K31+#REF!</f>
        <v>#REF!</v>
      </c>
      <c r="N31" s="16" t="e">
        <f t="shared" si="15"/>
        <v>#REF!</v>
      </c>
      <c r="O31" s="16"/>
      <c r="P31" s="16" t="e">
        <f t="shared" si="16"/>
        <v>#REF!</v>
      </c>
      <c r="Q31" s="16" t="e">
        <f t="shared" si="17"/>
        <v>#REF!</v>
      </c>
      <c r="R31" s="16"/>
      <c r="S31" s="16" t="e">
        <f t="shared" si="18"/>
        <v>#REF!</v>
      </c>
      <c r="T31" s="16" t="e">
        <f t="shared" si="19"/>
        <v>#REF!</v>
      </c>
      <c r="U31" s="16"/>
      <c r="V31" s="16" t="e">
        <f t="shared" si="20"/>
        <v>#REF!</v>
      </c>
      <c r="W31" s="16" t="e">
        <f t="shared" si="21"/>
        <v>#REF!</v>
      </c>
      <c r="X31" s="16"/>
      <c r="Y31" s="16" t="e">
        <f t="shared" si="22"/>
        <v>#REF!</v>
      </c>
      <c r="Z31" s="16" t="e">
        <f t="shared" si="23"/>
        <v>#REF!</v>
      </c>
      <c r="AA31" s="16" t="e">
        <f>((PretsNet!AB23)*(4/100))</f>
        <v>#REF!</v>
      </c>
      <c r="AB31" s="16" t="e">
        <f t="shared" si="24"/>
        <v>#REF!</v>
      </c>
      <c r="AC31" s="16"/>
      <c r="AD31" s="16" t="e">
        <f t="shared" si="25"/>
        <v>#REF!</v>
      </c>
      <c r="AE31" s="16" t="e">
        <f t="shared" si="26"/>
        <v>#REF!</v>
      </c>
      <c r="AF31" s="16"/>
      <c r="AG31" s="16" t="e">
        <f t="shared" si="27"/>
        <v>#REF!</v>
      </c>
      <c r="AH31" s="16" t="e">
        <f t="shared" si="28"/>
        <v>#REF!</v>
      </c>
      <c r="AI31" s="16"/>
      <c r="AJ31" s="16" t="e">
        <f t="shared" si="29"/>
        <v>#REF!</v>
      </c>
      <c r="AK31" s="16" t="e">
        <f t="shared" si="30"/>
        <v>#REF!</v>
      </c>
      <c r="AL31" s="27" t="e">
        <f>#REF!+#REF!+#REF!+#REF!+#REF!+O31+R31+U31+X31+AC31+AF31</f>
        <v>#REF!</v>
      </c>
      <c r="AM31" s="17" t="e">
        <f t="shared" si="31"/>
        <v>#REF!</v>
      </c>
      <c r="AN31" s="18" t="e">
        <f>Tableau47[[#This Row],[EP TOTALE]]+Tableau47[[#This Row],[INTERETS]]</f>
        <v>#REF!</v>
      </c>
    </row>
    <row r="32" spans="1:40">
      <c r="A32" s="22" t="s">
        <v>86</v>
      </c>
      <c r="B32" s="5">
        <f>((prets!B32)*(4/100))</f>
        <v>0</v>
      </c>
      <c r="C32" s="5">
        <f>((PretsNet!D15)*(4/100))</f>
        <v>0</v>
      </c>
      <c r="D32" s="5">
        <f t="shared" si="5"/>
        <v>0</v>
      </c>
      <c r="E32" s="16">
        <f>((prets!C24)*(4/100))</f>
        <v>10000</v>
      </c>
      <c r="F32" s="5">
        <f>((PretsNet!G32)*(4/100))</f>
        <v>0</v>
      </c>
      <c r="G32" s="5">
        <f t="shared" si="6"/>
        <v>10000</v>
      </c>
      <c r="H32" s="5" t="e">
        <f>((prets!#REF!)*(4/100))</f>
        <v>#REF!</v>
      </c>
      <c r="I32" s="5" t="e">
        <f>((PretsNet!J15)*(4/100))</f>
        <v>#REF!</v>
      </c>
      <c r="J32" s="5" t="e">
        <f t="shared" si="7"/>
        <v>#REF!</v>
      </c>
      <c r="K32" s="5" t="e">
        <f>((prets!#REF!)*(4/100))</f>
        <v>#REF!</v>
      </c>
      <c r="L32" s="5" t="e">
        <f>((PretsNet!M15)*(4/100))</f>
        <v>#REF!</v>
      </c>
      <c r="M32" s="5" t="e">
        <f t="shared" si="8"/>
        <v>#REF!</v>
      </c>
      <c r="N32" s="5" t="e">
        <f>((prets!#REF!)*(4/100))</f>
        <v>#REF!</v>
      </c>
      <c r="O32" s="5" t="e">
        <f>((PretsNet!P15)*(4/100))</f>
        <v>#REF!</v>
      </c>
      <c r="P32" s="5" t="e">
        <f t="shared" si="9"/>
        <v>#REF!</v>
      </c>
      <c r="Q32" s="5" t="e">
        <f>((prets!#REF!)*(4/100))</f>
        <v>#REF!</v>
      </c>
      <c r="R32" s="5" t="e">
        <f>((PretsNet!S15)*(4/100))</f>
        <v>#REF!</v>
      </c>
      <c r="S32" s="5" t="e">
        <f t="shared" si="10"/>
        <v>#REF!</v>
      </c>
      <c r="T32" s="5" t="e">
        <f>((prets!#REF!)*(4/100))</f>
        <v>#REF!</v>
      </c>
      <c r="U32" s="5" t="e">
        <f>((PretsNet!V15)*(4/100))</f>
        <v>#REF!</v>
      </c>
      <c r="V32" s="5" t="e">
        <f t="shared" si="11"/>
        <v>#REF!</v>
      </c>
      <c r="W32" s="5" t="e">
        <f>((prets!#REF!)*(4/100))</f>
        <v>#REF!</v>
      </c>
      <c r="X32" s="5" t="e">
        <f>((PretsNet!Y15)*(4/100))</f>
        <v>#REF!</v>
      </c>
      <c r="Y32" s="5" t="e">
        <f t="shared" si="12"/>
        <v>#REF!</v>
      </c>
      <c r="Z32" s="5" t="e">
        <f>((prets!#REF!)*(4/100))</f>
        <v>#REF!</v>
      </c>
      <c r="AA32" s="5" t="e">
        <f>((PretsNet!AB15)*(4/100))</f>
        <v>#REF!</v>
      </c>
      <c r="AB32" s="5" t="e">
        <f t="shared" si="0"/>
        <v>#REF!</v>
      </c>
      <c r="AC32" s="5" t="e">
        <f>((prets!#REF!)*(4/100))</f>
        <v>#REF!</v>
      </c>
      <c r="AD32" s="5" t="e">
        <f>((PretsNet!AE15)*(4/100))</f>
        <v>#REF!</v>
      </c>
      <c r="AE32" s="5" t="e">
        <f t="shared" si="1"/>
        <v>#REF!</v>
      </c>
      <c r="AF32" s="5" t="e">
        <f>((prets!#REF!)*(4/100))</f>
        <v>#REF!</v>
      </c>
      <c r="AG32" s="5" t="e">
        <f>((PretsNet!AH15)*(4/100))</f>
        <v>#REF!</v>
      </c>
      <c r="AH32" s="5" t="e">
        <f t="shared" si="2"/>
        <v>#REF!</v>
      </c>
      <c r="AI32" s="5" t="e">
        <f>((prets!#REF!)*(4/100))</f>
        <v>#REF!</v>
      </c>
      <c r="AJ32" s="5">
        <f>((PretsNet!AK15)*(4/100))</f>
        <v>0</v>
      </c>
      <c r="AK32" s="5" t="e">
        <f t="shared" si="3"/>
        <v>#REF!</v>
      </c>
      <c r="AL32" s="25" t="e">
        <f>#REF!+#REF!+#REF!+#REF!+#REF!+O32+R32+U32+X32+AC32+AF32</f>
        <v>#REF!</v>
      </c>
      <c r="AM32" s="14" t="e">
        <f t="shared" si="4"/>
        <v>#REF!</v>
      </c>
      <c r="AN32" s="15" t="e">
        <f>Tableau47[[#This Row],[EP TOTALE]]+Tableau47[[#This Row],[INTERETS]]</f>
        <v>#REF!</v>
      </c>
    </row>
    <row r="33" spans="1:40">
      <c r="A33" s="5" t="s">
        <v>197</v>
      </c>
      <c r="B33" s="5">
        <f>((prets!B33)*(4/100))</f>
        <v>4000</v>
      </c>
      <c r="C33" s="5">
        <f>((PretsNet!D16)*(4/100))</f>
        <v>0</v>
      </c>
      <c r="D33" s="5">
        <f t="shared" si="5"/>
        <v>4000</v>
      </c>
      <c r="E33" s="16">
        <f>((prets!C25)*(4/100))</f>
        <v>0</v>
      </c>
      <c r="F33" s="5">
        <f>((PretsNet!G33)*(4/100))</f>
        <v>0</v>
      </c>
      <c r="G33" s="5">
        <f t="shared" si="6"/>
        <v>0</v>
      </c>
      <c r="H33" s="5" t="e">
        <f>((prets!#REF!)*(4/100))</f>
        <v>#REF!</v>
      </c>
      <c r="I33" s="5" t="e">
        <f>((PretsNet!J16)*(4/100))</f>
        <v>#REF!</v>
      </c>
      <c r="J33" s="5" t="e">
        <f t="shared" si="7"/>
        <v>#REF!</v>
      </c>
      <c r="K33" s="5" t="e">
        <f>((prets!#REF!)*(4/100))</f>
        <v>#REF!</v>
      </c>
      <c r="L33" s="5" t="e">
        <f>((PretsNet!M16)*(4/100))</f>
        <v>#REF!</v>
      </c>
      <c r="M33" s="5" t="e">
        <f t="shared" si="8"/>
        <v>#REF!</v>
      </c>
      <c r="N33" s="5" t="e">
        <f>((prets!#REF!)*(4/100))</f>
        <v>#REF!</v>
      </c>
      <c r="O33" s="5" t="e">
        <f>((PretsNet!P16)*(4/100))</f>
        <v>#REF!</v>
      </c>
      <c r="P33" s="5" t="e">
        <f t="shared" si="9"/>
        <v>#REF!</v>
      </c>
      <c r="Q33" s="5" t="e">
        <f>((prets!#REF!)*(4/100))</f>
        <v>#REF!</v>
      </c>
      <c r="R33" s="5" t="e">
        <f>((PretsNet!S16)*(4/100))</f>
        <v>#REF!</v>
      </c>
      <c r="S33" s="5" t="e">
        <f t="shared" si="10"/>
        <v>#REF!</v>
      </c>
      <c r="T33" s="5" t="e">
        <f>((prets!#REF!)*(4/100))</f>
        <v>#REF!</v>
      </c>
      <c r="U33" s="5" t="e">
        <f>((PretsNet!V16)*(4/100))</f>
        <v>#REF!</v>
      </c>
      <c r="V33" s="5" t="e">
        <f t="shared" si="11"/>
        <v>#REF!</v>
      </c>
      <c r="W33" s="5" t="e">
        <f>((prets!#REF!)*(4/100))</f>
        <v>#REF!</v>
      </c>
      <c r="X33" s="5" t="e">
        <f>((PretsNet!Y16)*(4/100))</f>
        <v>#REF!</v>
      </c>
      <c r="Y33" s="5" t="e">
        <f t="shared" si="12"/>
        <v>#REF!</v>
      </c>
      <c r="Z33" s="5" t="e">
        <f>((prets!#REF!)*(4/100))</f>
        <v>#REF!</v>
      </c>
      <c r="AA33" s="5" t="e">
        <f>((PretsNet!AB16)*(4/100))</f>
        <v>#REF!</v>
      </c>
      <c r="AB33" s="5" t="e">
        <f t="shared" si="0"/>
        <v>#REF!</v>
      </c>
      <c r="AC33" s="5" t="e">
        <f>((prets!#REF!)*(4/100))</f>
        <v>#REF!</v>
      </c>
      <c r="AD33" s="5" t="e">
        <f>((PretsNet!AE16)*(4/100))</f>
        <v>#REF!</v>
      </c>
      <c r="AE33" s="5" t="e">
        <f t="shared" si="1"/>
        <v>#REF!</v>
      </c>
      <c r="AF33" s="5" t="e">
        <f>((prets!#REF!)*(4/100))</f>
        <v>#REF!</v>
      </c>
      <c r="AG33" s="5" t="e">
        <f>((PretsNet!AH16)*(4/100))</f>
        <v>#REF!</v>
      </c>
      <c r="AH33" s="5" t="e">
        <f t="shared" si="2"/>
        <v>#REF!</v>
      </c>
      <c r="AI33" s="5" t="e">
        <f>((prets!#REF!)*(4/100))</f>
        <v>#REF!</v>
      </c>
      <c r="AJ33" s="5" t="e">
        <f>((PretsNet!AK16)*(4/100))</f>
        <v>#REF!</v>
      </c>
      <c r="AK33" s="5" t="e">
        <f t="shared" si="3"/>
        <v>#REF!</v>
      </c>
      <c r="AL33" s="25" t="e">
        <f>#REF!+#REF!+#REF!+#REF!+#REF!+O33+R33+U33+X33+AC33+AF33</f>
        <v>#REF!</v>
      </c>
      <c r="AM33" s="14" t="e">
        <f t="shared" si="4"/>
        <v>#REF!</v>
      </c>
      <c r="AN33" s="15" t="e">
        <f>Tableau47[[#This Row],[EP TOTALE]]+Tableau47[[#This Row],[INTERETS]]</f>
        <v>#REF!</v>
      </c>
    </row>
    <row r="34" spans="1:40">
      <c r="A34" s="5" t="s">
        <v>165</v>
      </c>
      <c r="B34" s="5">
        <v>0</v>
      </c>
      <c r="C34" s="5">
        <f>((PretsNet!D24)*(4/100))</f>
        <v>0</v>
      </c>
      <c r="D34" s="5">
        <f t="shared" si="5"/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16">
        <v>0</v>
      </c>
      <c r="K34" s="5">
        <v>0</v>
      </c>
      <c r="L34" s="5">
        <f>((PretsNet!M24)*(4/100))</f>
        <v>164480</v>
      </c>
      <c r="M34" s="5">
        <f t="shared" si="8"/>
        <v>164480</v>
      </c>
      <c r="N34" s="5">
        <v>0</v>
      </c>
      <c r="O34" s="5">
        <v>0</v>
      </c>
      <c r="P34" s="16">
        <v>0</v>
      </c>
      <c r="Q34" s="5">
        <v>0</v>
      </c>
      <c r="R34" s="5">
        <v>0</v>
      </c>
      <c r="S34" s="16">
        <v>0</v>
      </c>
      <c r="T34" s="5">
        <v>0</v>
      </c>
      <c r="U34" s="5">
        <v>0</v>
      </c>
      <c r="V34" s="16">
        <v>0</v>
      </c>
      <c r="W34" s="5">
        <v>0</v>
      </c>
      <c r="X34" s="5">
        <v>0</v>
      </c>
      <c r="Y34" s="16">
        <v>0</v>
      </c>
      <c r="Z34" s="5">
        <v>0</v>
      </c>
      <c r="AA34" s="5">
        <f>((PretsNet!AB24)*(4/100))</f>
        <v>829960</v>
      </c>
      <c r="AB34" s="5">
        <f t="shared" si="0"/>
        <v>829960</v>
      </c>
      <c r="AC34" s="5">
        <v>0</v>
      </c>
      <c r="AD34" s="16">
        <v>0</v>
      </c>
      <c r="AE34" s="5">
        <v>0</v>
      </c>
      <c r="AF34" s="5">
        <v>0</v>
      </c>
      <c r="AG34" s="16">
        <v>0</v>
      </c>
      <c r="AH34" s="5">
        <v>0</v>
      </c>
      <c r="AI34" s="5">
        <v>0</v>
      </c>
      <c r="AJ34" s="16">
        <v>0</v>
      </c>
      <c r="AK34" s="5">
        <v>0</v>
      </c>
      <c r="AL34" s="25" t="e">
        <f>#REF!+#REF!+#REF!+#REF!+#REF!+O34+R34+U34+X34+AC34+AF34</f>
        <v>#REF!</v>
      </c>
      <c r="AM34" s="17" t="e">
        <f t="shared" si="4"/>
        <v>#REF!</v>
      </c>
      <c r="AN34" s="18" t="e">
        <f>Tableau47[[#This Row],[EP TOTALE]]+Tableau47[[#This Row],[INTERETS]]</f>
        <v>#REF!</v>
      </c>
    </row>
    <row r="35" spans="1:40">
      <c r="A35" s="16" t="s">
        <v>85</v>
      </c>
      <c r="B35" s="16">
        <v>0</v>
      </c>
      <c r="C35" s="16">
        <f>((PretsNet!D35)*(4/100))</f>
        <v>0</v>
      </c>
      <c r="D35" s="16">
        <v>0</v>
      </c>
      <c r="E35" s="16">
        <f>((prets!C35)*(4/100))</f>
        <v>0</v>
      </c>
      <c r="F35" s="16">
        <f>((PretsNet!G35)*(4/100))</f>
        <v>0</v>
      </c>
      <c r="G35" s="16">
        <f>+H35+E35</f>
        <v>0</v>
      </c>
      <c r="H35" s="16">
        <f>((prets!D35)*(4/100))</f>
        <v>0</v>
      </c>
      <c r="I35" s="16">
        <f>((PretsNet!J35)*(4/100))</f>
        <v>0</v>
      </c>
      <c r="J35" s="16" t="e">
        <f>+H35+#REF!</f>
        <v>#REF!</v>
      </c>
      <c r="K35" s="16" t="e">
        <f>+J35*(1+77100/1425760)</f>
        <v>#REF!</v>
      </c>
      <c r="L35" s="16">
        <f>((PretsNet!M35)*(4/100))</f>
        <v>0</v>
      </c>
      <c r="M35" s="16" t="e">
        <f>+K35+#REF!</f>
        <v>#REF!</v>
      </c>
      <c r="N35" s="16" t="e">
        <f>+M35*(1+85300/1554560)</f>
        <v>#REF!</v>
      </c>
      <c r="O35" s="16"/>
      <c r="P35" s="16" t="e">
        <f>+N35+O35</f>
        <v>#REF!</v>
      </c>
      <c r="Q35" s="16" t="e">
        <f>+P35*(1+108300/1711860)</f>
        <v>#REF!</v>
      </c>
      <c r="R35" s="16"/>
      <c r="S35" s="16" t="e">
        <f>+Q35+R35</f>
        <v>#REF!</v>
      </c>
      <c r="T35" s="16" t="e">
        <f>+S35*(1+113600/1822160)</f>
        <v>#REF!</v>
      </c>
      <c r="U35" s="16"/>
      <c r="V35" s="16" t="e">
        <f>+T35+U35</f>
        <v>#REF!</v>
      </c>
      <c r="W35" s="16" t="e">
        <f>+V35*(1+125950/2067260)</f>
        <v>#REF!</v>
      </c>
      <c r="X35" s="16"/>
      <c r="Y35" s="16" t="e">
        <f>+W35+X35</f>
        <v>#REF!</v>
      </c>
      <c r="Z35" s="16" t="e">
        <f>+Y35*(1+110250/2193210)</f>
        <v>#REF!</v>
      </c>
      <c r="AA35" s="16">
        <f>((PretsNet!AB35)*(4/100))</f>
        <v>0</v>
      </c>
      <c r="AB35" s="16" t="e">
        <f>+Z35+AA35</f>
        <v>#REF!</v>
      </c>
      <c r="AC35" s="16"/>
      <c r="AD35" s="16" t="e">
        <f>+Z35+AC35</f>
        <v>#REF!</v>
      </c>
      <c r="AE35" s="16" t="e">
        <f>+AD35*(1+0/2303460)</f>
        <v>#REF!</v>
      </c>
      <c r="AF35" s="16"/>
      <c r="AG35" s="16" t="e">
        <f>+AE35+AF35</f>
        <v>#REF!</v>
      </c>
      <c r="AH35" s="16" t="e">
        <f>+AG35*(1+0/2303460)</f>
        <v>#REF!</v>
      </c>
      <c r="AI35" s="16"/>
      <c r="AJ35" s="16" t="e">
        <f>+AH35+AI35</f>
        <v>#REF!</v>
      </c>
      <c r="AK35" s="16" t="e">
        <f>+AJ35*(1+0/2303460)</f>
        <v>#REF!</v>
      </c>
      <c r="AL35" s="27" t="e">
        <f>#REF!+#REF!+#REF!+#REF!+#REF!+O35+R35+U35+X35+AC35+AF35</f>
        <v>#REF!</v>
      </c>
      <c r="AM35" s="17" t="e">
        <f>-AL35+AH35</f>
        <v>#REF!</v>
      </c>
      <c r="AN35" s="18" t="e">
        <f>Tableau47[[#This Row],[EP TOTALE]]+Tableau47[[#This Row],[INTERETS]]</f>
        <v>#REF!</v>
      </c>
    </row>
    <row r="36" spans="1:40">
      <c r="A36" s="16" t="s">
        <v>166</v>
      </c>
      <c r="B36" s="5">
        <v>0</v>
      </c>
      <c r="C36" s="5">
        <f>((PretsNet!D25)*(4/100))</f>
        <v>0</v>
      </c>
      <c r="D36" s="5">
        <f t="shared" si="5"/>
        <v>0</v>
      </c>
      <c r="E36" s="16">
        <v>0</v>
      </c>
      <c r="F36" s="16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 t="e">
        <f>((PretsNet!M25)*(4/100))</f>
        <v>#REF!</v>
      </c>
      <c r="M36" s="16">
        <v>0</v>
      </c>
      <c r="N36" s="5">
        <v>0</v>
      </c>
      <c r="O36" s="16">
        <v>0</v>
      </c>
      <c r="P36" s="5">
        <f t="shared" ref="P36" si="51">+Q36+N36</f>
        <v>0</v>
      </c>
      <c r="Q36" s="16">
        <v>0</v>
      </c>
      <c r="R36" s="5">
        <v>0</v>
      </c>
      <c r="S36" s="16">
        <v>0</v>
      </c>
      <c r="T36" s="5">
        <f t="shared" ref="T36" si="52">+U36+R36</f>
        <v>0</v>
      </c>
      <c r="U36" s="16">
        <v>0</v>
      </c>
      <c r="V36" s="5">
        <v>0</v>
      </c>
      <c r="W36" s="16">
        <v>0</v>
      </c>
      <c r="X36" s="5">
        <f t="shared" ref="X36" si="53">+Y36+V36</f>
        <v>0</v>
      </c>
      <c r="Y36" s="16">
        <v>0</v>
      </c>
      <c r="Z36" s="5">
        <v>0</v>
      </c>
      <c r="AA36" s="5" t="e">
        <f>((PretsNet!AB25)*(4/100))</f>
        <v>#REF!</v>
      </c>
      <c r="AB36" s="5" t="e">
        <f t="shared" si="0"/>
        <v>#REF!</v>
      </c>
      <c r="AC36" s="16">
        <v>0</v>
      </c>
      <c r="AD36" s="5">
        <f>+AE36+Z36</f>
        <v>0</v>
      </c>
      <c r="AE36" s="16">
        <v>0</v>
      </c>
      <c r="AF36" s="5">
        <v>0</v>
      </c>
      <c r="AG36" s="16">
        <v>0</v>
      </c>
      <c r="AH36" s="5">
        <f t="shared" ref="AH36" si="54">+AI36+AF36</f>
        <v>0</v>
      </c>
      <c r="AI36" s="16">
        <v>0</v>
      </c>
      <c r="AJ36" s="5">
        <v>0</v>
      </c>
      <c r="AK36" s="16">
        <v>0</v>
      </c>
      <c r="AL36" s="25" t="e">
        <f>#REF!+#REF!+#REF!+#REF!+#REF!+O36+R36+U36+X36+AC36+AF36</f>
        <v>#REF!</v>
      </c>
      <c r="AM36" s="17" t="e">
        <f t="shared" si="4"/>
        <v>#REF!</v>
      </c>
      <c r="AN36" s="18" t="e">
        <f>Tableau47[[#This Row],[EP TOTALE]]+Tableau47[[#This Row],[INTERETS]]</f>
        <v>#REF!</v>
      </c>
    </row>
    <row r="37" spans="1:40">
      <c r="A37" s="5" t="s">
        <v>43</v>
      </c>
      <c r="B37" s="26">
        <f t="shared" ref="B37:K37" si="55">SUM(B2:B36)</f>
        <v>38000</v>
      </c>
      <c r="C37" s="26" t="e">
        <f t="shared" si="55"/>
        <v>#REF!</v>
      </c>
      <c r="D37" s="26" t="e">
        <f t="shared" si="55"/>
        <v>#REF!</v>
      </c>
      <c r="E37" s="26">
        <f t="shared" si="55"/>
        <v>41520</v>
      </c>
      <c r="F37" s="26" t="e">
        <f t="shared" si="55"/>
        <v>#REF!</v>
      </c>
      <c r="G37" s="26" t="e">
        <f t="shared" si="55"/>
        <v>#REF!</v>
      </c>
      <c r="H37" s="26" t="e">
        <f t="shared" si="55"/>
        <v>#REF!</v>
      </c>
      <c r="I37" s="26" t="e">
        <f t="shared" si="55"/>
        <v>#REF!</v>
      </c>
      <c r="J37" s="26" t="e">
        <f t="shared" si="55"/>
        <v>#REF!</v>
      </c>
      <c r="K37" s="5" t="e">
        <f t="shared" si="55"/>
        <v>#REF!</v>
      </c>
      <c r="L37" s="5" t="e">
        <f>((PretsNet!M26)*(4/100))</f>
        <v>#REF!</v>
      </c>
      <c r="M37" s="5" t="e">
        <f t="shared" ref="M37:AK37" si="56">SUM(M2:M36)</f>
        <v>#REF!</v>
      </c>
      <c r="N37" s="5" t="e">
        <f t="shared" si="56"/>
        <v>#REF!</v>
      </c>
      <c r="O37" s="5" t="e">
        <f t="shared" si="56"/>
        <v>#REF!</v>
      </c>
      <c r="P37" s="5" t="e">
        <f t="shared" si="56"/>
        <v>#REF!</v>
      </c>
      <c r="Q37" s="5" t="e">
        <f t="shared" si="56"/>
        <v>#REF!</v>
      </c>
      <c r="R37" s="5" t="e">
        <f t="shared" si="56"/>
        <v>#REF!</v>
      </c>
      <c r="S37" s="5" t="e">
        <f t="shared" si="56"/>
        <v>#REF!</v>
      </c>
      <c r="T37" s="5" t="e">
        <f t="shared" si="56"/>
        <v>#REF!</v>
      </c>
      <c r="U37" s="5" t="e">
        <f t="shared" si="56"/>
        <v>#REF!</v>
      </c>
      <c r="V37" s="5" t="e">
        <f t="shared" si="56"/>
        <v>#REF!</v>
      </c>
      <c r="W37" s="5" t="e">
        <f t="shared" si="56"/>
        <v>#REF!</v>
      </c>
      <c r="X37" s="5" t="e">
        <f t="shared" si="56"/>
        <v>#REF!</v>
      </c>
      <c r="Y37" s="5" t="e">
        <f t="shared" si="56"/>
        <v>#REF!</v>
      </c>
      <c r="Z37" s="5" t="e">
        <f t="shared" si="56"/>
        <v>#REF!</v>
      </c>
      <c r="AA37" s="5" t="e">
        <f t="shared" si="56"/>
        <v>#REF!</v>
      </c>
      <c r="AB37" s="5" t="e">
        <f t="shared" si="56"/>
        <v>#REF!</v>
      </c>
      <c r="AC37" s="5" t="e">
        <f t="shared" si="56"/>
        <v>#REF!</v>
      </c>
      <c r="AD37" s="5" t="e">
        <f t="shared" si="56"/>
        <v>#REF!</v>
      </c>
      <c r="AE37" s="5" t="e">
        <f t="shared" si="56"/>
        <v>#REF!</v>
      </c>
      <c r="AF37" s="5" t="e">
        <f t="shared" si="56"/>
        <v>#REF!</v>
      </c>
      <c r="AG37" s="5" t="e">
        <f t="shared" si="56"/>
        <v>#REF!</v>
      </c>
      <c r="AH37" s="5" t="e">
        <f t="shared" si="56"/>
        <v>#REF!</v>
      </c>
      <c r="AI37" s="5" t="e">
        <f t="shared" si="56"/>
        <v>#REF!</v>
      </c>
      <c r="AJ37" s="5" t="e">
        <f t="shared" si="56"/>
        <v>#REF!</v>
      </c>
      <c r="AK37" s="5" t="e">
        <f t="shared" si="56"/>
        <v>#REF!</v>
      </c>
      <c r="AL37" s="25" t="e">
        <f>+SUM(AL2:AL36)</f>
        <v>#REF!</v>
      </c>
      <c r="AM37" s="14" t="e">
        <f t="shared" si="4"/>
        <v>#REF!</v>
      </c>
      <c r="AN37" s="15" t="e">
        <f>Tableau47[[#This Row],[EP TOTALE]]+Tableau47[[#This Row],[INTERETS]]</f>
        <v>#REF!</v>
      </c>
    </row>
    <row r="38" spans="1:40">
      <c r="AH38" s="4"/>
      <c r="AI38" s="4"/>
      <c r="AJ38" s="4"/>
      <c r="AK38" s="4"/>
    </row>
    <row r="39" spans="1:40">
      <c r="AG39" s="5" t="s">
        <v>78</v>
      </c>
      <c r="AH39" s="4"/>
      <c r="AI39" s="4"/>
      <c r="AJ39" s="4"/>
      <c r="AK39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28"/>
  <sheetViews>
    <sheetView topLeftCell="A10" zoomScaleNormal="100" workbookViewId="0">
      <pane xSplit="1" topLeftCell="B1" activePane="topRight" state="frozen"/>
      <selection pane="topRight" activeCell="E1" sqref="E1"/>
    </sheetView>
  </sheetViews>
  <sheetFormatPr baseColWidth="10" defaultRowHeight="15"/>
  <cols>
    <col min="1" max="1" width="22.5703125" style="5" customWidth="1"/>
    <col min="2" max="2" width="13.85546875" style="5" customWidth="1"/>
    <col min="3" max="6" width="11.42578125" style="5"/>
    <col min="7" max="7" width="17.28515625" style="5" customWidth="1"/>
    <col min="8" max="24" width="11.42578125" style="5"/>
    <col min="25" max="25" width="12" style="5" customWidth="1"/>
    <col min="26" max="36" width="11.42578125" style="5"/>
    <col min="37" max="37" width="12.28515625" style="5" customWidth="1"/>
    <col min="38" max="16384" width="11.42578125" style="5"/>
  </cols>
  <sheetData>
    <row r="1" spans="1:40">
      <c r="A1" s="4" t="s">
        <v>0</v>
      </c>
      <c r="B1" s="28" t="s">
        <v>93</v>
      </c>
      <c r="C1" s="29" t="s">
        <v>97</v>
      </c>
      <c r="D1" s="31" t="s">
        <v>110</v>
      </c>
      <c r="E1" s="28" t="s">
        <v>94</v>
      </c>
      <c r="F1" s="29" t="s">
        <v>111</v>
      </c>
      <c r="G1" s="31" t="s">
        <v>106</v>
      </c>
      <c r="H1" s="28" t="s">
        <v>98</v>
      </c>
      <c r="I1" s="29" t="s">
        <v>99</v>
      </c>
      <c r="J1" s="31" t="s">
        <v>107</v>
      </c>
      <c r="K1" s="28" t="s">
        <v>103</v>
      </c>
      <c r="L1" s="29" t="s">
        <v>104</v>
      </c>
      <c r="M1" s="31" t="s">
        <v>105</v>
      </c>
      <c r="N1" s="28" t="s">
        <v>108</v>
      </c>
      <c r="O1" s="29" t="s">
        <v>109</v>
      </c>
      <c r="P1" s="31" t="s">
        <v>115</v>
      </c>
      <c r="Q1" s="28" t="s">
        <v>116</v>
      </c>
      <c r="R1" s="29" t="s">
        <v>117</v>
      </c>
      <c r="S1" s="31" t="s">
        <v>118</v>
      </c>
      <c r="T1" s="28" t="s">
        <v>119</v>
      </c>
      <c r="U1" s="29" t="s">
        <v>120</v>
      </c>
      <c r="V1" s="31" t="s">
        <v>121</v>
      </c>
      <c r="W1" s="28" t="s">
        <v>122</v>
      </c>
      <c r="X1" s="29" t="s">
        <v>123</v>
      </c>
      <c r="Y1" s="31" t="s">
        <v>127</v>
      </c>
      <c r="Z1" s="28" t="s">
        <v>125</v>
      </c>
      <c r="AA1" s="29" t="s">
        <v>124</v>
      </c>
      <c r="AB1" s="31" t="s">
        <v>126</v>
      </c>
      <c r="AC1" s="28" t="s">
        <v>128</v>
      </c>
      <c r="AD1" s="29" t="s">
        <v>129</v>
      </c>
      <c r="AE1" s="31" t="s">
        <v>130</v>
      </c>
      <c r="AF1" s="28" t="s">
        <v>131</v>
      </c>
      <c r="AG1" s="29" t="s">
        <v>132</v>
      </c>
      <c r="AH1" s="31" t="s">
        <v>133</v>
      </c>
      <c r="AI1" s="28" t="s">
        <v>113</v>
      </c>
      <c r="AJ1" s="29" t="s">
        <v>114</v>
      </c>
      <c r="AK1" s="31" t="s">
        <v>112</v>
      </c>
      <c r="AL1" s="4" t="s">
        <v>21</v>
      </c>
      <c r="AM1" s="4" t="s">
        <v>22</v>
      </c>
      <c r="AN1" s="4" t="s">
        <v>23</v>
      </c>
    </row>
    <row r="2" spans="1:40">
      <c r="A2" s="5" t="s">
        <v>28</v>
      </c>
      <c r="B2" s="5" t="e">
        <f>#REF!</f>
        <v>#REF!</v>
      </c>
      <c r="C2" s="5">
        <f>prets!B23</f>
        <v>0</v>
      </c>
      <c r="D2" s="5">
        <v>0</v>
      </c>
      <c r="E2" s="5" t="e">
        <f>#REF!</f>
        <v>#REF!</v>
      </c>
      <c r="F2" s="5">
        <f>prets!C23</f>
        <v>0</v>
      </c>
      <c r="G2" s="33" t="e">
        <f t="shared" ref="G2:G26" si="0">(C2+D2)-E2</f>
        <v>#REF!</v>
      </c>
      <c r="H2" s="26" t="e">
        <f>#REF!</f>
        <v>#REF!</v>
      </c>
      <c r="I2" s="5">
        <f>prets!D23</f>
        <v>0</v>
      </c>
      <c r="J2" s="33" t="e">
        <f t="shared" ref="J2:J26" si="1">(F2+G2)-H2</f>
        <v>#REF!</v>
      </c>
      <c r="K2" s="5" t="e">
        <f>#REF!</f>
        <v>#REF!</v>
      </c>
      <c r="L2" s="5">
        <f>prets!E23</f>
        <v>0</v>
      </c>
      <c r="M2" s="33" t="e">
        <f t="shared" ref="M2:M26" si="2">(I2+J2)-K2</f>
        <v>#REF!</v>
      </c>
      <c r="N2" s="5" t="e">
        <f>#REF!</f>
        <v>#REF!</v>
      </c>
      <c r="O2" s="5">
        <f>prets!F23</f>
        <v>0</v>
      </c>
      <c r="P2" s="33" t="e">
        <f t="shared" ref="P2:P26" si="3">(L2+M2)-N2</f>
        <v>#REF!</v>
      </c>
      <c r="Q2" s="5" t="e">
        <f>#REF!</f>
        <v>#REF!</v>
      </c>
      <c r="R2" s="5">
        <f>prets!G23</f>
        <v>0</v>
      </c>
      <c r="S2" s="33" t="e">
        <f t="shared" ref="S2:S26" si="4">(O2+P2)-Q2</f>
        <v>#REF!</v>
      </c>
      <c r="T2" s="5" t="e">
        <f>#REF!</f>
        <v>#REF!</v>
      </c>
      <c r="U2" s="5">
        <f>prets!H23</f>
        <v>0</v>
      </c>
      <c r="V2" s="33" t="e">
        <f t="shared" ref="V2:V26" si="5">(R2+S2)-T2</f>
        <v>#REF!</v>
      </c>
      <c r="W2" s="5" t="e">
        <f>#REF!</f>
        <v>#REF!</v>
      </c>
      <c r="X2" s="5">
        <f>prets!I23</f>
        <v>0</v>
      </c>
      <c r="Y2" s="33" t="e">
        <f t="shared" ref="Y2:Y26" si="6">(U2+V2)-W2</f>
        <v>#REF!</v>
      </c>
      <c r="Z2" s="5" t="e">
        <f>#REF!</f>
        <v>#REF!</v>
      </c>
      <c r="AA2" s="5">
        <f>prets!J23</f>
        <v>0</v>
      </c>
      <c r="AB2" s="33" t="e">
        <f t="shared" ref="AB2:AB26" si="7">(X2+Y2)-Z2</f>
        <v>#REF!</v>
      </c>
      <c r="AC2" s="5" t="e">
        <f>#REF!</f>
        <v>#REF!</v>
      </c>
      <c r="AD2" s="5">
        <f>prets!K23</f>
        <v>0</v>
      </c>
      <c r="AE2" s="33" t="e">
        <f t="shared" ref="AE2:AE26" si="8">(AA2+AB2)-AC2</f>
        <v>#REF!</v>
      </c>
      <c r="AF2" s="5" t="e">
        <f>#REF!</f>
        <v>#REF!</v>
      </c>
      <c r="AG2" s="5">
        <f>prets!L23</f>
        <v>0</v>
      </c>
      <c r="AH2" s="33" t="e">
        <f t="shared" ref="AH2:AH26" si="9">(AD2+AE2)-AF2</f>
        <v>#REF!</v>
      </c>
      <c r="AI2" s="5" t="e">
        <f>#REF!</f>
        <v>#REF!</v>
      </c>
      <c r="AJ2" s="5">
        <f>prets!M23</f>
        <v>0</v>
      </c>
      <c r="AK2" s="5" t="e">
        <f>(Tableau478[[#This Row],[PRET JUIN]]+Tableau478[[#This Row],[REPPRE-JUIN]])-Tableau478[[#This Row],[REM JUIL]]</f>
        <v>#REF!</v>
      </c>
      <c r="AL2" s="25" t="e">
        <f>B2+E2+H2+K2+N2+Q2+T2+W2+Z2+AC2+AF2</f>
        <v>#REF!</v>
      </c>
      <c r="AM2" s="14" t="e">
        <f t="shared" ref="AM2:AM26" si="10">-AL2+AH2</f>
        <v>#REF!</v>
      </c>
      <c r="AN2" s="15" t="e">
        <f>Tableau478[[#This Row],[EP TOTALE]]+Tableau478[[#This Row],[INTERETS]]</f>
        <v>#REF!</v>
      </c>
    </row>
    <row r="3" spans="1:40">
      <c r="A3" s="5" t="s">
        <v>38</v>
      </c>
      <c r="B3" s="5" t="e">
        <f>#REF!</f>
        <v>#REF!</v>
      </c>
      <c r="C3" s="5">
        <f>prets!B31</f>
        <v>0</v>
      </c>
      <c r="D3" s="5">
        <v>0</v>
      </c>
      <c r="E3" s="5" t="e">
        <f>#REF!</f>
        <v>#REF!</v>
      </c>
      <c r="F3" s="5">
        <f>prets!C31</f>
        <v>0</v>
      </c>
      <c r="G3" s="33" t="e">
        <f t="shared" si="0"/>
        <v>#REF!</v>
      </c>
      <c r="H3" s="5" t="e">
        <f>#REF!</f>
        <v>#REF!</v>
      </c>
      <c r="I3" s="5">
        <f>prets!D31</f>
        <v>0</v>
      </c>
      <c r="J3" s="33" t="e">
        <f t="shared" si="1"/>
        <v>#REF!</v>
      </c>
      <c r="K3" s="5" t="e">
        <f>#REF!</f>
        <v>#REF!</v>
      </c>
      <c r="L3" s="5">
        <f>prets!E31</f>
        <v>0</v>
      </c>
      <c r="M3" s="33" t="e">
        <f t="shared" si="2"/>
        <v>#REF!</v>
      </c>
      <c r="N3" s="5" t="e">
        <f>#REF!</f>
        <v>#REF!</v>
      </c>
      <c r="O3" s="5">
        <f>prets!F31</f>
        <v>0</v>
      </c>
      <c r="P3" s="33" t="e">
        <f t="shared" si="3"/>
        <v>#REF!</v>
      </c>
      <c r="Q3" s="5" t="e">
        <f>#REF!</f>
        <v>#REF!</v>
      </c>
      <c r="R3" s="5">
        <f>prets!G31</f>
        <v>0</v>
      </c>
      <c r="S3" s="33" t="e">
        <f t="shared" si="4"/>
        <v>#REF!</v>
      </c>
      <c r="T3" s="5" t="e">
        <f>#REF!</f>
        <v>#REF!</v>
      </c>
      <c r="U3" s="5">
        <f>prets!H31</f>
        <v>0</v>
      </c>
      <c r="V3" s="33" t="e">
        <f t="shared" si="5"/>
        <v>#REF!</v>
      </c>
      <c r="W3" s="5" t="e">
        <f>#REF!</f>
        <v>#REF!</v>
      </c>
      <c r="X3" s="5">
        <f>prets!I31</f>
        <v>0</v>
      </c>
      <c r="Y3" s="33" t="e">
        <f t="shared" si="6"/>
        <v>#REF!</v>
      </c>
      <c r="Z3" s="5" t="e">
        <f>#REF!</f>
        <v>#REF!</v>
      </c>
      <c r="AA3" s="5">
        <f>prets!J31</f>
        <v>0</v>
      </c>
      <c r="AB3" s="33" t="e">
        <f t="shared" si="7"/>
        <v>#REF!</v>
      </c>
      <c r="AC3" s="5" t="e">
        <f>#REF!</f>
        <v>#REF!</v>
      </c>
      <c r="AD3" s="5">
        <f>prets!K31</f>
        <v>0</v>
      </c>
      <c r="AE3" s="33" t="e">
        <f t="shared" si="8"/>
        <v>#REF!</v>
      </c>
      <c r="AF3" s="5" t="e">
        <f>#REF!</f>
        <v>#REF!</v>
      </c>
      <c r="AG3" s="5">
        <f>prets!L31</f>
        <v>0</v>
      </c>
      <c r="AH3" s="33" t="e">
        <f t="shared" si="9"/>
        <v>#REF!</v>
      </c>
      <c r="AI3" s="5" t="e">
        <f>#REF!</f>
        <v>#REF!</v>
      </c>
      <c r="AJ3" s="5">
        <f>prets!M31</f>
        <v>0</v>
      </c>
      <c r="AK3" s="5">
        <v>0</v>
      </c>
      <c r="AL3" s="25" t="e">
        <f>B3+E3+H3+K3+N3+Q3+T3+W3+Z3+AC3+AF3</f>
        <v>#REF!</v>
      </c>
      <c r="AM3" s="14" t="e">
        <f t="shared" si="10"/>
        <v>#REF!</v>
      </c>
      <c r="AN3" s="15" t="e">
        <f>Tableau478[[#This Row],[EP TOTALE]]+Tableau478[[#This Row],[INTERETS]]</f>
        <v>#REF!</v>
      </c>
    </row>
    <row r="4" spans="1:40">
      <c r="A4" s="16" t="s">
        <v>85</v>
      </c>
      <c r="B4" s="16">
        <v>0</v>
      </c>
      <c r="C4" s="5">
        <v>0</v>
      </c>
      <c r="D4" s="5">
        <v>0</v>
      </c>
      <c r="E4" s="16">
        <v>0</v>
      </c>
      <c r="F4" s="5">
        <f>+G4+C4</f>
        <v>0</v>
      </c>
      <c r="G4" s="33">
        <f t="shared" si="0"/>
        <v>0</v>
      </c>
      <c r="H4" s="5">
        <v>0</v>
      </c>
      <c r="I4" s="5">
        <f>prets!D35</f>
        <v>0</v>
      </c>
      <c r="J4" s="33">
        <f t="shared" si="1"/>
        <v>0</v>
      </c>
      <c r="K4" s="16">
        <v>0</v>
      </c>
      <c r="L4" s="5">
        <f>prets!E35</f>
        <v>0</v>
      </c>
      <c r="M4" s="33">
        <f t="shared" si="2"/>
        <v>0</v>
      </c>
      <c r="N4" s="5">
        <f>+O4+L4</f>
        <v>0</v>
      </c>
      <c r="O4" s="5">
        <f>prets!F35</f>
        <v>0</v>
      </c>
      <c r="P4" s="33">
        <f t="shared" si="3"/>
        <v>0</v>
      </c>
      <c r="Q4" s="16">
        <v>0</v>
      </c>
      <c r="R4" s="5">
        <f>prets!G35</f>
        <v>0</v>
      </c>
      <c r="S4" s="33">
        <f t="shared" si="4"/>
        <v>0</v>
      </c>
      <c r="T4" s="5">
        <v>0</v>
      </c>
      <c r="U4" s="16">
        <v>0</v>
      </c>
      <c r="V4" s="33">
        <f t="shared" si="5"/>
        <v>0</v>
      </c>
      <c r="W4" s="16">
        <v>0</v>
      </c>
      <c r="X4" s="5">
        <v>0</v>
      </c>
      <c r="Y4" s="33">
        <f t="shared" si="6"/>
        <v>0</v>
      </c>
      <c r="Z4" s="5">
        <f>+AA4+X4</f>
        <v>0</v>
      </c>
      <c r="AA4" s="16">
        <v>0</v>
      </c>
      <c r="AB4" s="33">
        <f t="shared" si="7"/>
        <v>0</v>
      </c>
      <c r="AC4" s="16">
        <v>0</v>
      </c>
      <c r="AD4" s="5">
        <f>+AE4+AB4</f>
        <v>0</v>
      </c>
      <c r="AE4" s="33">
        <f t="shared" si="8"/>
        <v>0</v>
      </c>
      <c r="AF4" s="5">
        <v>0</v>
      </c>
      <c r="AG4" s="16">
        <v>0</v>
      </c>
      <c r="AH4" s="33">
        <f t="shared" si="9"/>
        <v>0</v>
      </c>
      <c r="AI4" s="16">
        <v>0</v>
      </c>
      <c r="AJ4" s="5">
        <f>prets!M35</f>
        <v>0</v>
      </c>
      <c r="AK4" s="16">
        <v>0</v>
      </c>
      <c r="AL4" s="25" t="e">
        <f>E4+#REF!+H4+K4+N4+Q4+T4+W4+Z4+AC4+AF4</f>
        <v>#REF!</v>
      </c>
      <c r="AM4" s="17" t="e">
        <f t="shared" si="10"/>
        <v>#REF!</v>
      </c>
      <c r="AN4" s="18" t="e">
        <f>Tableau478[[#This Row],[EP TOTALE]]+Tableau478[[#This Row],[INTERETS]]</f>
        <v>#REF!</v>
      </c>
    </row>
    <row r="5" spans="1:40">
      <c r="A5" s="5" t="s">
        <v>32</v>
      </c>
      <c r="B5" s="5" t="e">
        <f>#REF!</f>
        <v>#REF!</v>
      </c>
      <c r="C5" s="5">
        <f>prets!B27</f>
        <v>0</v>
      </c>
      <c r="D5" s="5">
        <v>0</v>
      </c>
      <c r="E5" s="5" t="e">
        <f>#REF!</f>
        <v>#REF!</v>
      </c>
      <c r="F5" s="5">
        <f>prets!C27</f>
        <v>0</v>
      </c>
      <c r="G5" s="33" t="e">
        <f t="shared" si="0"/>
        <v>#REF!</v>
      </c>
      <c r="H5" s="32" t="e">
        <f>#REF!</f>
        <v>#REF!</v>
      </c>
      <c r="I5" s="5">
        <f>prets!D27</f>
        <v>200000</v>
      </c>
      <c r="J5" s="33" t="e">
        <f t="shared" si="1"/>
        <v>#REF!</v>
      </c>
      <c r="K5" s="5" t="e">
        <f>#REF!</f>
        <v>#REF!</v>
      </c>
      <c r="L5" s="5">
        <f>prets!E27</f>
        <v>200000</v>
      </c>
      <c r="M5" s="33" t="e">
        <f t="shared" si="2"/>
        <v>#REF!</v>
      </c>
      <c r="N5" s="5" t="e">
        <f>#REF!</f>
        <v>#REF!</v>
      </c>
      <c r="O5" s="5">
        <f>prets!F27</f>
        <v>200000</v>
      </c>
      <c r="P5" s="33" t="e">
        <f t="shared" si="3"/>
        <v>#REF!</v>
      </c>
      <c r="Q5" s="5" t="e">
        <f>#REF!</f>
        <v>#REF!</v>
      </c>
      <c r="R5" s="5">
        <f>prets!G27</f>
        <v>200000</v>
      </c>
      <c r="S5" s="33" t="e">
        <f t="shared" si="4"/>
        <v>#REF!</v>
      </c>
      <c r="T5" s="5" t="e">
        <f>#REF!</f>
        <v>#REF!</v>
      </c>
      <c r="U5" s="5">
        <f>prets!H27</f>
        <v>200000</v>
      </c>
      <c r="V5" s="33" t="e">
        <f t="shared" si="5"/>
        <v>#REF!</v>
      </c>
      <c r="W5" s="5" t="e">
        <f>#REF!</f>
        <v>#REF!</v>
      </c>
      <c r="X5" s="5">
        <f>prets!I27</f>
        <v>200000</v>
      </c>
      <c r="Y5" s="33" t="e">
        <f t="shared" si="6"/>
        <v>#REF!</v>
      </c>
      <c r="Z5" s="5" t="e">
        <f>#REF!</f>
        <v>#REF!</v>
      </c>
      <c r="AA5" s="5">
        <f>prets!J27</f>
        <v>200000</v>
      </c>
      <c r="AB5" s="33" t="e">
        <f t="shared" si="7"/>
        <v>#REF!</v>
      </c>
      <c r="AC5" s="5" t="e">
        <f>#REF!</f>
        <v>#REF!</v>
      </c>
      <c r="AD5" s="5">
        <f>prets!K27</f>
        <v>550000</v>
      </c>
      <c r="AE5" s="33" t="e">
        <f t="shared" si="8"/>
        <v>#REF!</v>
      </c>
      <c r="AF5" s="5" t="e">
        <f>#REF!</f>
        <v>#REF!</v>
      </c>
      <c r="AG5" s="5">
        <f>prets!L27</f>
        <v>853000</v>
      </c>
      <c r="AH5" s="33" t="e">
        <f t="shared" si="9"/>
        <v>#REF!</v>
      </c>
      <c r="AI5" s="5" t="e">
        <f>#REF!</f>
        <v>#REF!</v>
      </c>
      <c r="AJ5" s="5">
        <f>prets!M27</f>
        <v>0</v>
      </c>
      <c r="AK5" s="5" t="e">
        <f>(Tableau478[[#This Row],[PRET JUIN]]+Tableau478[[#This Row],[REPPRE-JUIN]])-Tableau478[[#This Row],[REM JUIL]]</f>
        <v>#REF!</v>
      </c>
      <c r="AL5" s="25" t="e">
        <f t="shared" ref="AL5:AL24" si="11">B5+E5+H5+K5+N5+Q5+T5+W5+Z5+AC5+AF5</f>
        <v>#REF!</v>
      </c>
      <c r="AM5" s="14" t="e">
        <f t="shared" si="10"/>
        <v>#REF!</v>
      </c>
      <c r="AN5" s="15" t="e">
        <f>Tableau478[[#This Row],[EP TOTALE]]+Tableau478[[#This Row],[INTERETS]]</f>
        <v>#REF!</v>
      </c>
    </row>
    <row r="6" spans="1:40">
      <c r="A6" s="5" t="s">
        <v>37</v>
      </c>
      <c r="B6" s="5" t="e">
        <f>#REF!</f>
        <v>#REF!</v>
      </c>
      <c r="C6" s="5">
        <f>prets!B30</f>
        <v>0</v>
      </c>
      <c r="D6" s="5">
        <v>0</v>
      </c>
      <c r="E6" s="26" t="e">
        <f>#REF!</f>
        <v>#REF!</v>
      </c>
      <c r="F6" s="5">
        <f>prets!C30</f>
        <v>0</v>
      </c>
      <c r="G6" s="33" t="e">
        <f t="shared" si="0"/>
        <v>#REF!</v>
      </c>
      <c r="H6" s="5" t="e">
        <f>#REF!</f>
        <v>#REF!</v>
      </c>
      <c r="I6" s="5">
        <f>prets!D30</f>
        <v>0</v>
      </c>
      <c r="J6" s="33" t="e">
        <f t="shared" si="1"/>
        <v>#REF!</v>
      </c>
      <c r="K6" s="5" t="e">
        <f>#REF!</f>
        <v>#REF!</v>
      </c>
      <c r="L6" s="5">
        <f>prets!E30</f>
        <v>0</v>
      </c>
      <c r="M6" s="33" t="e">
        <f t="shared" si="2"/>
        <v>#REF!</v>
      </c>
      <c r="N6" s="5" t="e">
        <f>#REF!</f>
        <v>#REF!</v>
      </c>
      <c r="O6" s="5">
        <f>prets!F30</f>
        <v>50000</v>
      </c>
      <c r="P6" s="33" t="e">
        <f t="shared" si="3"/>
        <v>#REF!</v>
      </c>
      <c r="Q6" s="5" t="e">
        <f>#REF!</f>
        <v>#REF!</v>
      </c>
      <c r="R6" s="5">
        <f>prets!G30</f>
        <v>50000</v>
      </c>
      <c r="S6" s="33" t="e">
        <f t="shared" si="4"/>
        <v>#REF!</v>
      </c>
      <c r="T6" s="5" t="e">
        <f>#REF!</f>
        <v>#REF!</v>
      </c>
      <c r="U6" s="5">
        <f>prets!H30</f>
        <v>50000</v>
      </c>
      <c r="V6" s="33" t="e">
        <f t="shared" si="5"/>
        <v>#REF!</v>
      </c>
      <c r="W6" s="5" t="e">
        <f>#REF!</f>
        <v>#REF!</v>
      </c>
      <c r="X6" s="5">
        <f>prets!I30</f>
        <v>50000</v>
      </c>
      <c r="Y6" s="33" t="e">
        <f t="shared" si="6"/>
        <v>#REF!</v>
      </c>
      <c r="Z6" s="5" t="e">
        <f>#REF!</f>
        <v>#REF!</v>
      </c>
      <c r="AA6" s="5">
        <f>prets!J30</f>
        <v>150000</v>
      </c>
      <c r="AB6" s="33" t="e">
        <f t="shared" si="7"/>
        <v>#REF!</v>
      </c>
      <c r="AC6" s="5" t="e">
        <f>#REF!</f>
        <v>#REF!</v>
      </c>
      <c r="AD6" s="5">
        <f>prets!K30</f>
        <v>150000</v>
      </c>
      <c r="AE6" s="33" t="e">
        <f t="shared" si="8"/>
        <v>#REF!</v>
      </c>
      <c r="AF6" s="5" t="e">
        <f>#REF!</f>
        <v>#REF!</v>
      </c>
      <c r="AG6" s="5">
        <f>prets!L30</f>
        <v>150000</v>
      </c>
      <c r="AH6" s="33" t="e">
        <f t="shared" si="9"/>
        <v>#REF!</v>
      </c>
      <c r="AI6" s="5" t="e">
        <f>#REF!</f>
        <v>#REF!</v>
      </c>
      <c r="AJ6" s="5">
        <f>prets!M30</f>
        <v>0</v>
      </c>
      <c r="AK6" s="5">
        <v>0</v>
      </c>
      <c r="AL6" s="25" t="e">
        <f t="shared" si="11"/>
        <v>#REF!</v>
      </c>
      <c r="AM6" s="14" t="e">
        <f t="shared" si="10"/>
        <v>#REF!</v>
      </c>
      <c r="AN6" s="15" t="e">
        <f>Tableau478[[#This Row],[EP TOTALE]]+Tableau478[[#This Row],[INTERETS]]</f>
        <v>#REF!</v>
      </c>
    </row>
    <row r="7" spans="1:40">
      <c r="A7" s="5" t="s">
        <v>36</v>
      </c>
      <c r="B7" s="5" t="e">
        <f>#REF!</f>
        <v>#REF!</v>
      </c>
      <c r="C7" s="5">
        <f>prets!B29</f>
        <v>0</v>
      </c>
      <c r="D7" s="5">
        <v>0</v>
      </c>
      <c r="E7" s="5" t="e">
        <f>#REF!</f>
        <v>#REF!</v>
      </c>
      <c r="F7" s="5">
        <f>prets!C29</f>
        <v>0</v>
      </c>
      <c r="G7" s="33" t="e">
        <f t="shared" si="0"/>
        <v>#REF!</v>
      </c>
      <c r="H7" s="5" t="e">
        <f>#REF!</f>
        <v>#REF!</v>
      </c>
      <c r="I7" s="5">
        <f>prets!D29</f>
        <v>0</v>
      </c>
      <c r="J7" s="33" t="e">
        <f t="shared" si="1"/>
        <v>#REF!</v>
      </c>
      <c r="K7" s="5" t="e">
        <f>#REF!</f>
        <v>#REF!</v>
      </c>
      <c r="L7" s="5">
        <f>prets!E29</f>
        <v>0</v>
      </c>
      <c r="M7" s="33" t="e">
        <f t="shared" si="2"/>
        <v>#REF!</v>
      </c>
      <c r="N7" s="5" t="e">
        <f>#REF!</f>
        <v>#REF!</v>
      </c>
      <c r="O7" s="5">
        <f>prets!F29</f>
        <v>0</v>
      </c>
      <c r="P7" s="33" t="e">
        <f t="shared" si="3"/>
        <v>#REF!</v>
      </c>
      <c r="Q7" s="5" t="e">
        <f>#REF!</f>
        <v>#REF!</v>
      </c>
      <c r="R7" s="5">
        <f>prets!G29</f>
        <v>0</v>
      </c>
      <c r="S7" s="33" t="e">
        <f t="shared" si="4"/>
        <v>#REF!</v>
      </c>
      <c r="T7" s="5" t="e">
        <f>#REF!</f>
        <v>#REF!</v>
      </c>
      <c r="U7" s="5">
        <f>prets!H29</f>
        <v>0</v>
      </c>
      <c r="V7" s="33" t="e">
        <f t="shared" si="5"/>
        <v>#REF!</v>
      </c>
      <c r="W7" s="5" t="e">
        <f>#REF!</f>
        <v>#REF!</v>
      </c>
      <c r="X7" s="5">
        <f>prets!I29</f>
        <v>0</v>
      </c>
      <c r="Y7" s="33" t="e">
        <f t="shared" si="6"/>
        <v>#REF!</v>
      </c>
      <c r="Z7" s="5" t="e">
        <f>#REF!</f>
        <v>#REF!</v>
      </c>
      <c r="AA7" s="5">
        <f>prets!J29</f>
        <v>0</v>
      </c>
      <c r="AB7" s="33" t="e">
        <f t="shared" si="7"/>
        <v>#REF!</v>
      </c>
      <c r="AC7" s="5" t="e">
        <f>#REF!</f>
        <v>#REF!</v>
      </c>
      <c r="AD7" s="5">
        <f>prets!K29</f>
        <v>0</v>
      </c>
      <c r="AE7" s="33" t="e">
        <f t="shared" si="8"/>
        <v>#REF!</v>
      </c>
      <c r="AF7" s="5" t="e">
        <f>#REF!</f>
        <v>#REF!</v>
      </c>
      <c r="AG7" s="5">
        <f>prets!L29</f>
        <v>0</v>
      </c>
      <c r="AH7" s="33" t="e">
        <f t="shared" si="9"/>
        <v>#REF!</v>
      </c>
      <c r="AI7" s="5" t="e">
        <f>#REF!</f>
        <v>#REF!</v>
      </c>
      <c r="AJ7" s="5">
        <f>prets!M29</f>
        <v>0</v>
      </c>
      <c r="AK7" s="5" t="e">
        <f>(Tableau478[[#This Row],[PRET JUIN]]+Tableau478[[#This Row],[REPPRE-JUIN]])-Tableau478[[#This Row],[REM JUIL]]</f>
        <v>#REF!</v>
      </c>
      <c r="AL7" s="25" t="e">
        <f t="shared" si="11"/>
        <v>#REF!</v>
      </c>
      <c r="AM7" s="14" t="e">
        <f t="shared" si="10"/>
        <v>#REF!</v>
      </c>
      <c r="AN7" s="15" t="e">
        <f>Tableau478[[#This Row],[EP TOTALE]]+Tableau478[[#This Row],[INTERETS]]</f>
        <v>#REF!</v>
      </c>
    </row>
    <row r="8" spans="1:40">
      <c r="A8" s="5" t="s">
        <v>40</v>
      </c>
      <c r="B8" s="5" t="e">
        <f>#REF!</f>
        <v>#REF!</v>
      </c>
      <c r="C8" s="5">
        <f>prets!B33</f>
        <v>100000</v>
      </c>
      <c r="D8" s="5">
        <v>0</v>
      </c>
      <c r="E8" s="5" t="e">
        <f>#REF!</f>
        <v>#REF!</v>
      </c>
      <c r="F8" s="5">
        <f>prets!C33</f>
        <v>100000</v>
      </c>
      <c r="G8" s="33" t="e">
        <f t="shared" si="0"/>
        <v>#REF!</v>
      </c>
      <c r="H8" s="5" t="e">
        <f>#REF!</f>
        <v>#REF!</v>
      </c>
      <c r="I8" s="5">
        <f>prets!D33</f>
        <v>100000</v>
      </c>
      <c r="J8" s="33" t="e">
        <f t="shared" si="1"/>
        <v>#REF!</v>
      </c>
      <c r="K8" s="5" t="e">
        <f>#REF!</f>
        <v>#REF!</v>
      </c>
      <c r="L8" s="5">
        <f>prets!E33</f>
        <v>100000</v>
      </c>
      <c r="M8" s="33" t="e">
        <f t="shared" si="2"/>
        <v>#REF!</v>
      </c>
      <c r="N8" s="5" t="e">
        <f>#REF!</f>
        <v>#REF!</v>
      </c>
      <c r="O8" s="5">
        <f>prets!F33</f>
        <v>500000</v>
      </c>
      <c r="P8" s="33" t="e">
        <f t="shared" si="3"/>
        <v>#REF!</v>
      </c>
      <c r="Q8" s="5" t="e">
        <f>#REF!</f>
        <v>#REF!</v>
      </c>
      <c r="R8" s="5">
        <f>prets!G33</f>
        <v>500000</v>
      </c>
      <c r="S8" s="33" t="e">
        <f t="shared" si="4"/>
        <v>#REF!</v>
      </c>
      <c r="T8" s="5" t="e">
        <f>#REF!</f>
        <v>#REF!</v>
      </c>
      <c r="U8" s="5">
        <f>prets!H33</f>
        <v>800000</v>
      </c>
      <c r="V8" s="33" t="e">
        <f t="shared" si="5"/>
        <v>#REF!</v>
      </c>
      <c r="W8" s="5" t="e">
        <f>#REF!</f>
        <v>#REF!</v>
      </c>
      <c r="X8" s="5">
        <f>prets!I33</f>
        <v>700000</v>
      </c>
      <c r="Y8" s="33" t="e">
        <f t="shared" si="6"/>
        <v>#REF!</v>
      </c>
      <c r="Z8" s="5" t="e">
        <f>#REF!</f>
        <v>#REF!</v>
      </c>
      <c r="AA8" s="5">
        <f>prets!J33</f>
        <v>1100000</v>
      </c>
      <c r="AB8" s="33" t="e">
        <f t="shared" si="7"/>
        <v>#REF!</v>
      </c>
      <c r="AC8" s="5" t="e">
        <f>#REF!</f>
        <v>#REF!</v>
      </c>
      <c r="AD8" s="5">
        <f>prets!K33</f>
        <v>1100000</v>
      </c>
      <c r="AE8" s="33" t="e">
        <f t="shared" si="8"/>
        <v>#REF!</v>
      </c>
      <c r="AF8" s="5" t="e">
        <f>#REF!</f>
        <v>#REF!</v>
      </c>
      <c r="AG8" s="5">
        <f>prets!L33</f>
        <v>1100000</v>
      </c>
      <c r="AH8" s="33" t="e">
        <f t="shared" si="9"/>
        <v>#REF!</v>
      </c>
      <c r="AI8" s="5" t="e">
        <f>#REF!</f>
        <v>#REF!</v>
      </c>
      <c r="AJ8" s="5">
        <f>prets!M33</f>
        <v>0</v>
      </c>
      <c r="AK8" s="5">
        <v>0</v>
      </c>
      <c r="AL8" s="25" t="e">
        <f t="shared" si="11"/>
        <v>#REF!</v>
      </c>
      <c r="AM8" s="14" t="e">
        <f t="shared" si="10"/>
        <v>#REF!</v>
      </c>
      <c r="AN8" s="15" t="e">
        <f>Tableau478[[#This Row],[EP TOTALE]]+Tableau478[[#This Row],[INTERETS]]</f>
        <v>#REF!</v>
      </c>
    </row>
    <row r="9" spans="1:40">
      <c r="A9" s="5" t="s">
        <v>26</v>
      </c>
      <c r="B9" s="5" t="e">
        <f>#REF!</f>
        <v>#REF!</v>
      </c>
      <c r="C9" s="5">
        <f>prets!B2</f>
        <v>0</v>
      </c>
      <c r="D9" s="33" t="e">
        <f>(AJ9+AK9)-B9</f>
        <v>#REF!</v>
      </c>
      <c r="E9" s="5" t="e">
        <f>#REF!</f>
        <v>#REF!</v>
      </c>
      <c r="F9" s="5">
        <f>prets!C2</f>
        <v>0</v>
      </c>
      <c r="G9" s="33" t="e">
        <f t="shared" si="0"/>
        <v>#REF!</v>
      </c>
      <c r="H9" s="5" t="e">
        <f>#REF!</f>
        <v>#REF!</v>
      </c>
      <c r="I9" s="5">
        <f>prets!D2</f>
        <v>0</v>
      </c>
      <c r="J9" s="33" t="e">
        <f t="shared" si="1"/>
        <v>#REF!</v>
      </c>
      <c r="K9" s="5" t="e">
        <f>#REF!</f>
        <v>#REF!</v>
      </c>
      <c r="L9" s="5">
        <f>prets!E2</f>
        <v>400000</v>
      </c>
      <c r="M9" s="33" t="e">
        <f t="shared" si="2"/>
        <v>#REF!</v>
      </c>
      <c r="N9" s="5" t="e">
        <f>#REF!</f>
        <v>#REF!</v>
      </c>
      <c r="O9" s="5">
        <f>prets!F2</f>
        <v>400000</v>
      </c>
      <c r="P9" s="33" t="e">
        <f t="shared" si="3"/>
        <v>#REF!</v>
      </c>
      <c r="Q9" s="5" t="e">
        <f>#REF!</f>
        <v>#REF!</v>
      </c>
      <c r="R9" s="5">
        <f>prets!G2</f>
        <v>400000</v>
      </c>
      <c r="S9" s="33" t="e">
        <f t="shared" si="4"/>
        <v>#REF!</v>
      </c>
      <c r="T9" s="5" t="e">
        <f>#REF!</f>
        <v>#REF!</v>
      </c>
      <c r="U9" s="5">
        <f>prets!H2</f>
        <v>400000</v>
      </c>
      <c r="V9" s="33" t="e">
        <f t="shared" si="5"/>
        <v>#REF!</v>
      </c>
      <c r="W9" s="5" t="e">
        <f>#REF!</f>
        <v>#REF!</v>
      </c>
      <c r="X9" s="5">
        <f>prets!I2</f>
        <v>400000</v>
      </c>
      <c r="Y9" s="33" t="e">
        <f t="shared" si="6"/>
        <v>#REF!</v>
      </c>
      <c r="Z9" s="5" t="e">
        <f>#REF!</f>
        <v>#REF!</v>
      </c>
      <c r="AA9" s="5">
        <f>prets!J2</f>
        <v>400000</v>
      </c>
      <c r="AB9" s="33" t="e">
        <f t="shared" si="7"/>
        <v>#REF!</v>
      </c>
      <c r="AC9" s="5" t="e">
        <f>#REF!</f>
        <v>#REF!</v>
      </c>
      <c r="AD9" s="5">
        <f>prets!K2</f>
        <v>400000</v>
      </c>
      <c r="AE9" s="33" t="e">
        <f t="shared" si="8"/>
        <v>#REF!</v>
      </c>
      <c r="AF9" s="5" t="e">
        <f>#REF!</f>
        <v>#REF!</v>
      </c>
      <c r="AG9" s="5">
        <f>prets!L2</f>
        <v>300000</v>
      </c>
      <c r="AH9" s="33" t="e">
        <f t="shared" si="9"/>
        <v>#REF!</v>
      </c>
      <c r="AI9" s="5" t="e">
        <f>#REF!</f>
        <v>#REF!</v>
      </c>
      <c r="AJ9" s="5">
        <f>prets!M2</f>
        <v>0</v>
      </c>
      <c r="AK9" s="33"/>
      <c r="AL9" s="25" t="e">
        <f t="shared" si="11"/>
        <v>#REF!</v>
      </c>
      <c r="AM9" s="14" t="e">
        <f t="shared" si="10"/>
        <v>#REF!</v>
      </c>
      <c r="AN9" s="15" t="e">
        <f>Tableau478[[#This Row],[EP TOTALE]]+Tableau478[[#This Row],[INTERETS]]</f>
        <v>#REF!</v>
      </c>
    </row>
    <row r="10" spans="1:40">
      <c r="A10" s="16" t="s">
        <v>92</v>
      </c>
      <c r="B10" s="5" t="e">
        <f>#REF!</f>
        <v>#REF!</v>
      </c>
      <c r="C10" s="5" t="e">
        <f>prets!#REF!</f>
        <v>#REF!</v>
      </c>
      <c r="D10" s="5">
        <v>0</v>
      </c>
      <c r="E10" s="5" t="e">
        <f>#REF!</f>
        <v>#REF!</v>
      </c>
      <c r="F10" s="5" t="e">
        <f>prets!#REF!</f>
        <v>#REF!</v>
      </c>
      <c r="G10" s="33" t="e">
        <f t="shared" si="0"/>
        <v>#REF!</v>
      </c>
      <c r="H10" s="5" t="e">
        <f>#REF!</f>
        <v>#REF!</v>
      </c>
      <c r="I10" s="5" t="e">
        <f>prets!#REF!</f>
        <v>#REF!</v>
      </c>
      <c r="J10" s="33" t="e">
        <f t="shared" si="1"/>
        <v>#REF!</v>
      </c>
      <c r="K10" s="5" t="e">
        <f>#REF!</f>
        <v>#REF!</v>
      </c>
      <c r="L10" s="5" t="e">
        <f>prets!#REF!</f>
        <v>#REF!</v>
      </c>
      <c r="M10" s="33" t="e">
        <f t="shared" si="2"/>
        <v>#REF!</v>
      </c>
      <c r="N10" s="5" t="e">
        <f>#REF!</f>
        <v>#REF!</v>
      </c>
      <c r="O10" s="5" t="e">
        <f>prets!#REF!</f>
        <v>#REF!</v>
      </c>
      <c r="P10" s="33" t="e">
        <f t="shared" si="3"/>
        <v>#REF!</v>
      </c>
      <c r="Q10" s="5" t="e">
        <f>#REF!</f>
        <v>#REF!</v>
      </c>
      <c r="R10" s="5" t="e">
        <f>prets!#REF!</f>
        <v>#REF!</v>
      </c>
      <c r="S10" s="33" t="e">
        <f t="shared" si="4"/>
        <v>#REF!</v>
      </c>
      <c r="T10" s="5" t="e">
        <f>#REF!</f>
        <v>#REF!</v>
      </c>
      <c r="U10" s="5" t="e">
        <f>prets!#REF!</f>
        <v>#REF!</v>
      </c>
      <c r="V10" s="33" t="e">
        <f t="shared" si="5"/>
        <v>#REF!</v>
      </c>
      <c r="W10" s="5" t="e">
        <f>#REF!</f>
        <v>#REF!</v>
      </c>
      <c r="X10" s="5" t="e">
        <f>prets!#REF!</f>
        <v>#REF!</v>
      </c>
      <c r="Y10" s="33" t="e">
        <f t="shared" si="6"/>
        <v>#REF!</v>
      </c>
      <c r="Z10" s="5" t="e">
        <f>#REF!</f>
        <v>#REF!</v>
      </c>
      <c r="AA10" s="5" t="e">
        <f>prets!#REF!</f>
        <v>#REF!</v>
      </c>
      <c r="AB10" s="33" t="e">
        <f t="shared" si="7"/>
        <v>#REF!</v>
      </c>
      <c r="AC10" s="5" t="e">
        <f>#REF!</f>
        <v>#REF!</v>
      </c>
      <c r="AD10" s="5" t="e">
        <f>prets!#REF!</f>
        <v>#REF!</v>
      </c>
      <c r="AE10" s="33" t="e">
        <f t="shared" si="8"/>
        <v>#REF!</v>
      </c>
      <c r="AF10" s="5" t="e">
        <f>#REF!</f>
        <v>#REF!</v>
      </c>
      <c r="AG10" s="5" t="e">
        <f>prets!#REF!</f>
        <v>#REF!</v>
      </c>
      <c r="AH10" s="33" t="e">
        <f t="shared" si="9"/>
        <v>#REF!</v>
      </c>
      <c r="AI10" s="5" t="e">
        <f>#REF!</f>
        <v>#REF!</v>
      </c>
      <c r="AJ10" s="5" t="e">
        <f>prets!#REF!</f>
        <v>#REF!</v>
      </c>
      <c r="AK10" s="5" t="e">
        <f>(Tableau478[[#This Row],[PRET JUIN]]+Tableau478[[#This Row],[REPPRE-JUIN]])-Tableau478[[#This Row],[REM JUIL]]</f>
        <v>#REF!</v>
      </c>
      <c r="AL10" s="27" t="e">
        <f t="shared" si="11"/>
        <v>#REF!</v>
      </c>
      <c r="AM10" s="17" t="e">
        <f t="shared" si="10"/>
        <v>#REF!</v>
      </c>
      <c r="AN10" s="18" t="e">
        <f>Tableau478[[#This Row],[EP TOTALE]]+Tableau478[[#This Row],[INTERETS]]</f>
        <v>#REF!</v>
      </c>
    </row>
    <row r="11" spans="1:40">
      <c r="A11" s="5" t="s">
        <v>24</v>
      </c>
      <c r="B11" s="5" t="e">
        <f>#REF!</f>
        <v>#REF!</v>
      </c>
      <c r="C11" s="5" t="e">
        <f>prets!#REF!</f>
        <v>#REF!</v>
      </c>
      <c r="D11" s="5">
        <v>0</v>
      </c>
      <c r="E11" s="5" t="e">
        <f>#REF!</f>
        <v>#REF!</v>
      </c>
      <c r="F11" s="5" t="e">
        <f>prets!#REF!</f>
        <v>#REF!</v>
      </c>
      <c r="G11" s="33" t="e">
        <f t="shared" si="0"/>
        <v>#REF!</v>
      </c>
      <c r="H11" s="5" t="e">
        <f>#REF!</f>
        <v>#REF!</v>
      </c>
      <c r="I11" s="5" t="e">
        <f>prets!#REF!</f>
        <v>#REF!</v>
      </c>
      <c r="J11" s="33" t="e">
        <f t="shared" si="1"/>
        <v>#REF!</v>
      </c>
      <c r="K11" s="5" t="e">
        <f>#REF!</f>
        <v>#REF!</v>
      </c>
      <c r="L11" s="5" t="e">
        <f>prets!#REF!</f>
        <v>#REF!</v>
      </c>
      <c r="M11" s="33" t="e">
        <f t="shared" si="2"/>
        <v>#REF!</v>
      </c>
      <c r="N11" s="5" t="e">
        <f>#REF!</f>
        <v>#REF!</v>
      </c>
      <c r="O11" s="5" t="e">
        <f>prets!#REF!</f>
        <v>#REF!</v>
      </c>
      <c r="P11" s="33" t="e">
        <f t="shared" si="3"/>
        <v>#REF!</v>
      </c>
      <c r="Q11" s="5" t="e">
        <f>#REF!</f>
        <v>#REF!</v>
      </c>
      <c r="R11" s="5" t="e">
        <f>prets!#REF!</f>
        <v>#REF!</v>
      </c>
      <c r="S11" s="33" t="e">
        <f t="shared" si="4"/>
        <v>#REF!</v>
      </c>
      <c r="T11" s="5" t="e">
        <f>#REF!</f>
        <v>#REF!</v>
      </c>
      <c r="U11" s="5" t="e">
        <f>prets!#REF!</f>
        <v>#REF!</v>
      </c>
      <c r="V11" s="33" t="e">
        <f t="shared" si="5"/>
        <v>#REF!</v>
      </c>
      <c r="W11" s="5" t="e">
        <f>#REF!</f>
        <v>#REF!</v>
      </c>
      <c r="X11" s="5" t="e">
        <f>prets!#REF!</f>
        <v>#REF!</v>
      </c>
      <c r="Y11" s="33" t="e">
        <f t="shared" si="6"/>
        <v>#REF!</v>
      </c>
      <c r="Z11" s="5" t="e">
        <f>#REF!</f>
        <v>#REF!</v>
      </c>
      <c r="AA11" s="5" t="e">
        <f>prets!#REF!</f>
        <v>#REF!</v>
      </c>
      <c r="AB11" s="33" t="e">
        <f t="shared" si="7"/>
        <v>#REF!</v>
      </c>
      <c r="AC11" s="5" t="e">
        <f>#REF!</f>
        <v>#REF!</v>
      </c>
      <c r="AD11" s="5" t="e">
        <f>prets!#REF!</f>
        <v>#REF!</v>
      </c>
      <c r="AE11" s="33" t="e">
        <f t="shared" si="8"/>
        <v>#REF!</v>
      </c>
      <c r="AF11" s="5" t="e">
        <f>#REF!</f>
        <v>#REF!</v>
      </c>
      <c r="AG11" s="5" t="e">
        <f>prets!#REF!</f>
        <v>#REF!</v>
      </c>
      <c r="AH11" s="33" t="e">
        <f t="shared" si="9"/>
        <v>#REF!</v>
      </c>
      <c r="AI11" s="5" t="e">
        <f>#REF!</f>
        <v>#REF!</v>
      </c>
      <c r="AJ11" s="5" t="e">
        <f>prets!#REF!</f>
        <v>#REF!</v>
      </c>
      <c r="AK11" s="5">
        <v>0</v>
      </c>
      <c r="AL11" s="25" t="e">
        <f t="shared" si="11"/>
        <v>#REF!</v>
      </c>
      <c r="AM11" s="14" t="e">
        <f t="shared" si="10"/>
        <v>#REF!</v>
      </c>
      <c r="AN11" s="15" t="e">
        <f>Tableau478[[#This Row],[EP TOTALE]]+Tableau478[[#This Row],[INTERETS]]</f>
        <v>#REF!</v>
      </c>
    </row>
    <row r="12" spans="1:40">
      <c r="A12" s="5" t="s">
        <v>27</v>
      </c>
      <c r="B12" s="5" t="e">
        <f>#REF!</f>
        <v>#REF!</v>
      </c>
      <c r="C12" s="5">
        <f>prets!B3</f>
        <v>0</v>
      </c>
      <c r="D12" s="5">
        <v>0</v>
      </c>
      <c r="E12" s="5" t="e">
        <f>#REF!</f>
        <v>#REF!</v>
      </c>
      <c r="F12" s="5">
        <f>prets!C3</f>
        <v>0</v>
      </c>
      <c r="G12" s="33" t="e">
        <f t="shared" si="0"/>
        <v>#REF!</v>
      </c>
      <c r="H12" s="5" t="e">
        <f>#REF!</f>
        <v>#REF!</v>
      </c>
      <c r="I12" s="5">
        <f>prets!D3</f>
        <v>0</v>
      </c>
      <c r="J12" s="33" t="e">
        <f t="shared" si="1"/>
        <v>#REF!</v>
      </c>
      <c r="K12" s="5" t="e">
        <f>#REF!</f>
        <v>#REF!</v>
      </c>
      <c r="L12" s="5">
        <f>prets!E3</f>
        <v>0</v>
      </c>
      <c r="M12" s="33" t="e">
        <f t="shared" si="2"/>
        <v>#REF!</v>
      </c>
      <c r="N12" s="5" t="e">
        <f>#REF!</f>
        <v>#REF!</v>
      </c>
      <c r="O12" s="5">
        <f>prets!F3</f>
        <v>0</v>
      </c>
      <c r="P12" s="33" t="e">
        <f t="shared" si="3"/>
        <v>#REF!</v>
      </c>
      <c r="Q12" s="5" t="e">
        <f>#REF!</f>
        <v>#REF!</v>
      </c>
      <c r="R12" s="5">
        <f>prets!G3</f>
        <v>0</v>
      </c>
      <c r="S12" s="33" t="e">
        <f t="shared" si="4"/>
        <v>#REF!</v>
      </c>
      <c r="T12" s="5" t="e">
        <f>#REF!</f>
        <v>#REF!</v>
      </c>
      <c r="U12" s="5">
        <f>prets!H3</f>
        <v>300000</v>
      </c>
      <c r="V12" s="33" t="e">
        <f t="shared" si="5"/>
        <v>#REF!</v>
      </c>
      <c r="W12" s="5" t="e">
        <f>#REF!</f>
        <v>#REF!</v>
      </c>
      <c r="X12" s="5">
        <f>prets!I3</f>
        <v>300000</v>
      </c>
      <c r="Y12" s="33" t="e">
        <f t="shared" si="6"/>
        <v>#REF!</v>
      </c>
      <c r="Z12" s="5" t="e">
        <f>#REF!</f>
        <v>#REF!</v>
      </c>
      <c r="AA12" s="5">
        <f>prets!J3</f>
        <v>300000</v>
      </c>
      <c r="AB12" s="33" t="e">
        <f t="shared" si="7"/>
        <v>#REF!</v>
      </c>
      <c r="AC12" s="5" t="e">
        <f>#REF!</f>
        <v>#REF!</v>
      </c>
      <c r="AD12" s="5">
        <f>prets!K3</f>
        <v>300000</v>
      </c>
      <c r="AE12" s="33" t="e">
        <f t="shared" si="8"/>
        <v>#REF!</v>
      </c>
      <c r="AF12" s="5" t="e">
        <f>#REF!</f>
        <v>#REF!</v>
      </c>
      <c r="AG12" s="5">
        <f>prets!L3</f>
        <v>300000</v>
      </c>
      <c r="AH12" s="33" t="e">
        <f t="shared" si="9"/>
        <v>#REF!</v>
      </c>
      <c r="AI12" s="5" t="e">
        <f>#REF!</f>
        <v>#REF!</v>
      </c>
      <c r="AJ12" s="5">
        <f>prets!M3</f>
        <v>0</v>
      </c>
      <c r="AK12" s="5" t="e">
        <f>(Tableau478[[#This Row],[PRET JUIN]]+Tableau478[[#This Row],[REPPRE-JUIN]])-Tableau478[[#This Row],[REM JUIL]]</f>
        <v>#REF!</v>
      </c>
      <c r="AL12" s="25" t="e">
        <f t="shared" si="11"/>
        <v>#REF!</v>
      </c>
      <c r="AM12" s="14" t="e">
        <f t="shared" si="10"/>
        <v>#REF!</v>
      </c>
      <c r="AN12" s="15" t="e">
        <f>Tableau478[[#This Row],[EP TOTALE]]+Tableau478[[#This Row],[INTERETS]]</f>
        <v>#REF!</v>
      </c>
    </row>
    <row r="13" spans="1:40">
      <c r="A13" s="5" t="s">
        <v>33</v>
      </c>
      <c r="B13" s="5" t="e">
        <f>#REF!</f>
        <v>#REF!</v>
      </c>
      <c r="C13" s="5">
        <f>prets!B28</f>
        <v>200000</v>
      </c>
      <c r="D13" s="5">
        <v>0</v>
      </c>
      <c r="E13" s="26" t="e">
        <f>#REF!</f>
        <v>#REF!</v>
      </c>
      <c r="F13" s="5">
        <f>prets!C28</f>
        <v>200000</v>
      </c>
      <c r="G13" s="33" t="e">
        <f t="shared" si="0"/>
        <v>#REF!</v>
      </c>
      <c r="H13" s="5" t="e">
        <f>#REF!</f>
        <v>#REF!</v>
      </c>
      <c r="I13" s="5">
        <f>prets!D28</f>
        <v>500000</v>
      </c>
      <c r="J13" s="33" t="e">
        <f t="shared" si="1"/>
        <v>#REF!</v>
      </c>
      <c r="K13" s="5" t="e">
        <f>#REF!</f>
        <v>#REF!</v>
      </c>
      <c r="L13" s="5">
        <f>prets!E28</f>
        <v>500000</v>
      </c>
      <c r="M13" s="33" t="e">
        <f t="shared" si="2"/>
        <v>#REF!</v>
      </c>
      <c r="N13" s="5" t="e">
        <f>#REF!</f>
        <v>#REF!</v>
      </c>
      <c r="O13" s="5">
        <f>prets!F28</f>
        <v>600000</v>
      </c>
      <c r="P13" s="33" t="e">
        <f t="shared" si="3"/>
        <v>#REF!</v>
      </c>
      <c r="Q13" s="5" t="e">
        <f>#REF!</f>
        <v>#REF!</v>
      </c>
      <c r="R13" s="5">
        <f>prets!G28</f>
        <v>600000</v>
      </c>
      <c r="S13" s="33" t="e">
        <f t="shared" si="4"/>
        <v>#REF!</v>
      </c>
      <c r="T13" s="5" t="e">
        <f>#REF!</f>
        <v>#REF!</v>
      </c>
      <c r="U13" s="5">
        <f>prets!H28</f>
        <v>600000</v>
      </c>
      <c r="V13" s="33" t="e">
        <f t="shared" si="5"/>
        <v>#REF!</v>
      </c>
      <c r="W13" s="5" t="e">
        <f>#REF!</f>
        <v>#REF!</v>
      </c>
      <c r="X13" s="5">
        <f>prets!I28</f>
        <v>600000</v>
      </c>
      <c r="Y13" s="33" t="e">
        <f t="shared" si="6"/>
        <v>#REF!</v>
      </c>
      <c r="Z13" s="5" t="e">
        <f>#REF!</f>
        <v>#REF!</v>
      </c>
      <c r="AA13" s="5">
        <f>prets!J28</f>
        <v>0</v>
      </c>
      <c r="AB13" s="33" t="e">
        <f t="shared" si="7"/>
        <v>#REF!</v>
      </c>
      <c r="AC13" s="5" t="e">
        <f>#REF!</f>
        <v>#REF!</v>
      </c>
      <c r="AD13" s="5">
        <f>prets!K28</f>
        <v>0</v>
      </c>
      <c r="AE13" s="33" t="e">
        <f t="shared" si="8"/>
        <v>#REF!</v>
      </c>
      <c r="AF13" s="5" t="e">
        <f>#REF!</f>
        <v>#REF!</v>
      </c>
      <c r="AG13" s="5">
        <f>prets!L28</f>
        <v>0</v>
      </c>
      <c r="AH13" s="33" t="e">
        <f t="shared" si="9"/>
        <v>#REF!</v>
      </c>
      <c r="AI13" s="5" t="e">
        <f>#REF!</f>
        <v>#REF!</v>
      </c>
      <c r="AJ13" s="5">
        <f>prets!M28</f>
        <v>0</v>
      </c>
      <c r="AK13" s="5" t="e">
        <f>(Tableau478[[#This Row],[PRET JUIN]]+Tableau478[[#This Row],[REPPRE-JUIN]])-Tableau478[[#This Row],[REM JUIL]]</f>
        <v>#REF!</v>
      </c>
      <c r="AL13" s="25" t="e">
        <f t="shared" si="11"/>
        <v>#REF!</v>
      </c>
      <c r="AM13" s="14" t="e">
        <f t="shared" si="10"/>
        <v>#REF!</v>
      </c>
      <c r="AN13" s="15" t="e">
        <f>Tableau478[[#This Row],[EP TOTALE]]+Tableau478[[#This Row],[INTERETS]]</f>
        <v>#REF!</v>
      </c>
    </row>
    <row r="14" spans="1:40">
      <c r="A14" s="5" t="s">
        <v>30</v>
      </c>
      <c r="B14" s="5" t="e">
        <f>#REF!</f>
        <v>#REF!</v>
      </c>
      <c r="C14" s="5">
        <f>prets!B25</f>
        <v>0</v>
      </c>
      <c r="D14" s="5">
        <v>0</v>
      </c>
      <c r="E14" s="5" t="e">
        <f>#REF!</f>
        <v>#REF!</v>
      </c>
      <c r="F14" s="5">
        <f>prets!C25</f>
        <v>0</v>
      </c>
      <c r="G14" s="33" t="e">
        <f t="shared" si="0"/>
        <v>#REF!</v>
      </c>
      <c r="H14" s="5" t="e">
        <f>#REF!</f>
        <v>#REF!</v>
      </c>
      <c r="I14" s="5">
        <f>prets!D25</f>
        <v>0</v>
      </c>
      <c r="J14" s="33" t="e">
        <f t="shared" si="1"/>
        <v>#REF!</v>
      </c>
      <c r="K14" s="5" t="e">
        <f>#REF!</f>
        <v>#REF!</v>
      </c>
      <c r="L14" s="5">
        <f>prets!E25</f>
        <v>0</v>
      </c>
      <c r="M14" s="33" t="e">
        <f t="shared" si="2"/>
        <v>#REF!</v>
      </c>
      <c r="N14" s="5" t="e">
        <f>#REF!</f>
        <v>#REF!</v>
      </c>
      <c r="O14" s="5">
        <f>prets!F25</f>
        <v>0</v>
      </c>
      <c r="P14" s="33" t="e">
        <f t="shared" si="3"/>
        <v>#REF!</v>
      </c>
      <c r="Q14" s="5" t="e">
        <f>#REF!</f>
        <v>#REF!</v>
      </c>
      <c r="R14" s="5">
        <f>prets!G25</f>
        <v>50000</v>
      </c>
      <c r="S14" s="33" t="e">
        <f t="shared" si="4"/>
        <v>#REF!</v>
      </c>
      <c r="T14" s="5" t="e">
        <f>#REF!</f>
        <v>#REF!</v>
      </c>
      <c r="U14" s="5">
        <f>prets!H25</f>
        <v>50000</v>
      </c>
      <c r="V14" s="33" t="e">
        <f t="shared" si="5"/>
        <v>#REF!</v>
      </c>
      <c r="W14" s="5" t="e">
        <f>#REF!</f>
        <v>#REF!</v>
      </c>
      <c r="X14" s="5">
        <f>prets!I25</f>
        <v>50000</v>
      </c>
      <c r="Y14" s="33" t="e">
        <f t="shared" si="6"/>
        <v>#REF!</v>
      </c>
      <c r="Z14" s="5" t="e">
        <f>#REF!</f>
        <v>#REF!</v>
      </c>
      <c r="AA14" s="5">
        <f>prets!J25</f>
        <v>50000</v>
      </c>
      <c r="AB14" s="33" t="e">
        <f t="shared" si="7"/>
        <v>#REF!</v>
      </c>
      <c r="AC14" s="5" t="e">
        <f>#REF!</f>
        <v>#REF!</v>
      </c>
      <c r="AD14" s="5">
        <f>prets!K25</f>
        <v>50000</v>
      </c>
      <c r="AE14" s="33" t="e">
        <f t="shared" si="8"/>
        <v>#REF!</v>
      </c>
      <c r="AF14" s="5" t="e">
        <f>#REF!</f>
        <v>#REF!</v>
      </c>
      <c r="AG14" s="5">
        <f>prets!L25</f>
        <v>50000</v>
      </c>
      <c r="AH14" s="33" t="e">
        <f t="shared" si="9"/>
        <v>#REF!</v>
      </c>
      <c r="AI14" s="5" t="e">
        <f>#REF!</f>
        <v>#REF!</v>
      </c>
      <c r="AJ14" s="5">
        <f>prets!M25</f>
        <v>0</v>
      </c>
      <c r="AK14" s="5" t="e">
        <f>(Tableau478[[#This Row],[PRET JUIN]]+Tableau478[[#This Row],[REPPRE-JUIN]])-Tableau478[[#This Row],[REM JUIL]]</f>
        <v>#REF!</v>
      </c>
      <c r="AL14" s="25" t="e">
        <f t="shared" si="11"/>
        <v>#REF!</v>
      </c>
      <c r="AM14" s="14" t="e">
        <f t="shared" si="10"/>
        <v>#REF!</v>
      </c>
      <c r="AN14" s="15" t="e">
        <f>Tableau478[[#This Row],[EP TOTALE]]+Tableau478[[#This Row],[INTERETS]]</f>
        <v>#REF!</v>
      </c>
    </row>
    <row r="15" spans="1:40">
      <c r="A15" s="5" t="s">
        <v>42</v>
      </c>
      <c r="B15" s="5" t="e">
        <f>#REF!</f>
        <v>#REF!</v>
      </c>
      <c r="C15" s="5" t="e">
        <f>prets!#REF!</f>
        <v>#REF!</v>
      </c>
      <c r="D15" s="5">
        <v>0</v>
      </c>
      <c r="E15" s="5" t="e">
        <f>#REF!</f>
        <v>#REF!</v>
      </c>
      <c r="F15" s="5" t="e">
        <f>prets!#REF!</f>
        <v>#REF!</v>
      </c>
      <c r="G15" s="33" t="e">
        <f t="shared" si="0"/>
        <v>#REF!</v>
      </c>
      <c r="H15" s="5" t="e">
        <f>#REF!</f>
        <v>#REF!</v>
      </c>
      <c r="I15" s="5" t="e">
        <f>prets!#REF!</f>
        <v>#REF!</v>
      </c>
      <c r="J15" s="33" t="e">
        <f t="shared" si="1"/>
        <v>#REF!</v>
      </c>
      <c r="K15" s="5" t="e">
        <f>#REF!</f>
        <v>#REF!</v>
      </c>
      <c r="L15" s="5" t="e">
        <f>prets!#REF!</f>
        <v>#REF!</v>
      </c>
      <c r="M15" s="33" t="e">
        <f t="shared" si="2"/>
        <v>#REF!</v>
      </c>
      <c r="N15" s="5" t="e">
        <f>#REF!</f>
        <v>#REF!</v>
      </c>
      <c r="O15" s="5" t="e">
        <f>prets!#REF!</f>
        <v>#REF!</v>
      </c>
      <c r="P15" s="33" t="e">
        <f t="shared" si="3"/>
        <v>#REF!</v>
      </c>
      <c r="Q15" s="5" t="e">
        <f>#REF!</f>
        <v>#REF!</v>
      </c>
      <c r="R15" s="5" t="e">
        <f>prets!#REF!</f>
        <v>#REF!</v>
      </c>
      <c r="S15" s="33" t="e">
        <f t="shared" si="4"/>
        <v>#REF!</v>
      </c>
      <c r="T15" s="5" t="e">
        <f>#REF!</f>
        <v>#REF!</v>
      </c>
      <c r="U15" s="5" t="e">
        <f>prets!#REF!</f>
        <v>#REF!</v>
      </c>
      <c r="V15" s="33" t="e">
        <f t="shared" si="5"/>
        <v>#REF!</v>
      </c>
      <c r="W15" s="5" t="e">
        <f>#REF!</f>
        <v>#REF!</v>
      </c>
      <c r="X15" s="5" t="e">
        <f>prets!#REF!</f>
        <v>#REF!</v>
      </c>
      <c r="Y15" s="33" t="e">
        <f t="shared" si="6"/>
        <v>#REF!</v>
      </c>
      <c r="Z15" s="5" t="e">
        <f>#REF!</f>
        <v>#REF!</v>
      </c>
      <c r="AA15" s="5" t="e">
        <f>prets!#REF!</f>
        <v>#REF!</v>
      </c>
      <c r="AB15" s="33" t="e">
        <f t="shared" si="7"/>
        <v>#REF!</v>
      </c>
      <c r="AC15" s="5" t="e">
        <f>#REF!</f>
        <v>#REF!</v>
      </c>
      <c r="AD15" s="5" t="e">
        <f>prets!#REF!</f>
        <v>#REF!</v>
      </c>
      <c r="AE15" s="33" t="e">
        <f t="shared" si="8"/>
        <v>#REF!</v>
      </c>
      <c r="AF15" s="5" t="e">
        <f>#REF!</f>
        <v>#REF!</v>
      </c>
      <c r="AG15" s="5" t="e">
        <f>prets!#REF!</f>
        <v>#REF!</v>
      </c>
      <c r="AH15" s="33" t="e">
        <f t="shared" si="9"/>
        <v>#REF!</v>
      </c>
      <c r="AI15" s="5" t="e">
        <f>#REF!</f>
        <v>#REF!</v>
      </c>
      <c r="AJ15" s="5" t="e">
        <f>prets!#REF!</f>
        <v>#REF!</v>
      </c>
      <c r="AK15" s="5">
        <v>0</v>
      </c>
      <c r="AL15" s="25" t="e">
        <f t="shared" si="11"/>
        <v>#REF!</v>
      </c>
      <c r="AM15" s="14" t="e">
        <f t="shared" si="10"/>
        <v>#REF!</v>
      </c>
      <c r="AN15" s="15" t="e">
        <f>Tableau478[[#This Row],[EP TOTALE]]+Tableau478[[#This Row],[INTERETS]]</f>
        <v>#REF!</v>
      </c>
    </row>
    <row r="16" spans="1:40">
      <c r="A16" s="16" t="s">
        <v>91</v>
      </c>
      <c r="B16" s="5" t="e">
        <f>#REF!</f>
        <v>#REF!</v>
      </c>
      <c r="C16" s="5" t="e">
        <f>prets!#REF!</f>
        <v>#REF!</v>
      </c>
      <c r="D16" s="5">
        <v>0</v>
      </c>
      <c r="E16" s="5" t="e">
        <f>#REF!</f>
        <v>#REF!</v>
      </c>
      <c r="F16" s="5" t="e">
        <f>prets!#REF!</f>
        <v>#REF!</v>
      </c>
      <c r="G16" s="33" t="e">
        <f t="shared" si="0"/>
        <v>#REF!</v>
      </c>
      <c r="H16" s="5" t="e">
        <f>#REF!</f>
        <v>#REF!</v>
      </c>
      <c r="I16" s="5" t="e">
        <f>prets!#REF!</f>
        <v>#REF!</v>
      </c>
      <c r="J16" s="33" t="e">
        <f t="shared" si="1"/>
        <v>#REF!</v>
      </c>
      <c r="K16" s="5" t="e">
        <f>#REF!</f>
        <v>#REF!</v>
      </c>
      <c r="L16" s="5" t="e">
        <f>prets!#REF!</f>
        <v>#REF!</v>
      </c>
      <c r="M16" s="33" t="e">
        <f t="shared" si="2"/>
        <v>#REF!</v>
      </c>
      <c r="N16" s="5" t="e">
        <f>#REF!</f>
        <v>#REF!</v>
      </c>
      <c r="O16" s="5" t="e">
        <f>prets!#REF!</f>
        <v>#REF!</v>
      </c>
      <c r="P16" s="33" t="e">
        <f t="shared" si="3"/>
        <v>#REF!</v>
      </c>
      <c r="Q16" s="5" t="e">
        <f>#REF!</f>
        <v>#REF!</v>
      </c>
      <c r="R16" s="5" t="e">
        <f>prets!#REF!</f>
        <v>#REF!</v>
      </c>
      <c r="S16" s="33" t="e">
        <f t="shared" si="4"/>
        <v>#REF!</v>
      </c>
      <c r="T16" s="5" t="e">
        <f>#REF!</f>
        <v>#REF!</v>
      </c>
      <c r="U16" s="5" t="e">
        <f>prets!#REF!</f>
        <v>#REF!</v>
      </c>
      <c r="V16" s="33" t="e">
        <f t="shared" si="5"/>
        <v>#REF!</v>
      </c>
      <c r="W16" s="5" t="e">
        <f>#REF!</f>
        <v>#REF!</v>
      </c>
      <c r="X16" s="5" t="e">
        <f>prets!#REF!</f>
        <v>#REF!</v>
      </c>
      <c r="Y16" s="33" t="e">
        <f t="shared" si="6"/>
        <v>#REF!</v>
      </c>
      <c r="Z16" s="5" t="e">
        <f>#REF!</f>
        <v>#REF!</v>
      </c>
      <c r="AA16" s="16" t="e">
        <f>+Y16+Z16</f>
        <v>#REF!</v>
      </c>
      <c r="AB16" s="33" t="e">
        <f t="shared" si="7"/>
        <v>#REF!</v>
      </c>
      <c r="AC16" s="5" t="e">
        <f>#REF!</f>
        <v>#REF!</v>
      </c>
      <c r="AD16" s="5" t="e">
        <f>prets!#REF!</f>
        <v>#REF!</v>
      </c>
      <c r="AE16" s="33" t="e">
        <f t="shared" si="8"/>
        <v>#REF!</v>
      </c>
      <c r="AF16" s="5" t="e">
        <f>#REF!</f>
        <v>#REF!</v>
      </c>
      <c r="AG16" s="5" t="e">
        <f>prets!#REF!</f>
        <v>#REF!</v>
      </c>
      <c r="AH16" s="33" t="e">
        <f t="shared" si="9"/>
        <v>#REF!</v>
      </c>
      <c r="AI16" s="5" t="e">
        <f>#REF!</f>
        <v>#REF!</v>
      </c>
      <c r="AJ16" s="5" t="e">
        <f>prets!#REF!</f>
        <v>#REF!</v>
      </c>
      <c r="AK16" s="5" t="e">
        <f>(Tableau478[[#This Row],[PRET JUIN]]+Tableau478[[#This Row],[REPPRE-JUIN]])-Tableau478[[#This Row],[REM JUIL]]</f>
        <v>#REF!</v>
      </c>
      <c r="AL16" s="27" t="e">
        <f t="shared" si="11"/>
        <v>#REF!</v>
      </c>
      <c r="AM16" s="17" t="e">
        <f t="shared" si="10"/>
        <v>#REF!</v>
      </c>
      <c r="AN16" s="18" t="e">
        <f>Tableau478[[#This Row],[EP TOTALE]]+Tableau478[[#This Row],[INTERETS]]</f>
        <v>#REF!</v>
      </c>
    </row>
    <row r="17" spans="1:40">
      <c r="A17" s="5" t="s">
        <v>25</v>
      </c>
      <c r="B17" s="5" t="e">
        <f>#REF!</f>
        <v>#REF!</v>
      </c>
      <c r="C17" s="5" t="e">
        <f>prets!#REF!</f>
        <v>#REF!</v>
      </c>
      <c r="D17" s="5">
        <v>0</v>
      </c>
      <c r="E17" s="5" t="e">
        <f>#REF!</f>
        <v>#REF!</v>
      </c>
      <c r="F17" s="5" t="e">
        <f>prets!#REF!</f>
        <v>#REF!</v>
      </c>
      <c r="G17" s="33" t="e">
        <f t="shared" si="0"/>
        <v>#REF!</v>
      </c>
      <c r="H17" s="5" t="e">
        <f>#REF!</f>
        <v>#REF!</v>
      </c>
      <c r="I17" s="5" t="e">
        <f>prets!#REF!</f>
        <v>#REF!</v>
      </c>
      <c r="J17" s="33" t="e">
        <f t="shared" si="1"/>
        <v>#REF!</v>
      </c>
      <c r="K17" s="5" t="e">
        <f>#REF!</f>
        <v>#REF!</v>
      </c>
      <c r="L17" s="5" t="e">
        <f>prets!#REF!</f>
        <v>#REF!</v>
      </c>
      <c r="M17" s="33" t="e">
        <f t="shared" si="2"/>
        <v>#REF!</v>
      </c>
      <c r="N17" s="5" t="e">
        <f>#REF!</f>
        <v>#REF!</v>
      </c>
      <c r="O17" s="5" t="e">
        <f>prets!#REF!</f>
        <v>#REF!</v>
      </c>
      <c r="P17" s="33" t="e">
        <f t="shared" si="3"/>
        <v>#REF!</v>
      </c>
      <c r="Q17" s="5" t="e">
        <f>#REF!</f>
        <v>#REF!</v>
      </c>
      <c r="R17" s="5" t="e">
        <f>prets!#REF!</f>
        <v>#REF!</v>
      </c>
      <c r="S17" s="33" t="e">
        <f t="shared" si="4"/>
        <v>#REF!</v>
      </c>
      <c r="T17" s="5" t="e">
        <f>#REF!</f>
        <v>#REF!</v>
      </c>
      <c r="U17" s="5" t="e">
        <f>prets!#REF!</f>
        <v>#REF!</v>
      </c>
      <c r="V17" s="33" t="e">
        <f t="shared" si="5"/>
        <v>#REF!</v>
      </c>
      <c r="W17" s="5" t="e">
        <f>#REF!</f>
        <v>#REF!</v>
      </c>
      <c r="X17" s="5" t="e">
        <f>prets!#REF!</f>
        <v>#REF!</v>
      </c>
      <c r="Y17" s="33" t="e">
        <f t="shared" si="6"/>
        <v>#REF!</v>
      </c>
      <c r="Z17" s="5" t="e">
        <f>#REF!</f>
        <v>#REF!</v>
      </c>
      <c r="AA17" s="5" t="e">
        <f>prets!#REF!</f>
        <v>#REF!</v>
      </c>
      <c r="AB17" s="33" t="e">
        <f t="shared" si="7"/>
        <v>#REF!</v>
      </c>
      <c r="AC17" s="5" t="e">
        <f>#REF!</f>
        <v>#REF!</v>
      </c>
      <c r="AD17" s="5" t="e">
        <f>prets!#REF!</f>
        <v>#REF!</v>
      </c>
      <c r="AE17" s="33" t="e">
        <f t="shared" si="8"/>
        <v>#REF!</v>
      </c>
      <c r="AF17" s="5" t="e">
        <f>#REF!</f>
        <v>#REF!</v>
      </c>
      <c r="AG17" s="5" t="e">
        <f>prets!#REF!</f>
        <v>#REF!</v>
      </c>
      <c r="AH17" s="33" t="e">
        <f t="shared" si="9"/>
        <v>#REF!</v>
      </c>
      <c r="AI17" s="5" t="e">
        <f>#REF!</f>
        <v>#REF!</v>
      </c>
      <c r="AJ17" s="5" t="e">
        <f>prets!#REF!</f>
        <v>#REF!</v>
      </c>
      <c r="AK17" s="5">
        <v>0</v>
      </c>
      <c r="AL17" s="25" t="e">
        <f t="shared" si="11"/>
        <v>#REF!</v>
      </c>
      <c r="AM17" s="14" t="e">
        <f t="shared" si="10"/>
        <v>#REF!</v>
      </c>
      <c r="AN17" s="15" t="e">
        <f>Tableau478[[#This Row],[EP TOTALE]]+Tableau478[[#This Row],[INTERETS]]</f>
        <v>#REF!</v>
      </c>
    </row>
    <row r="18" spans="1:40">
      <c r="A18" s="5" t="s">
        <v>35</v>
      </c>
      <c r="B18" s="5" t="e">
        <f>#REF!</f>
        <v>#REF!</v>
      </c>
      <c r="C18" s="5" t="e">
        <f>prets!#REF!</f>
        <v>#REF!</v>
      </c>
      <c r="D18" s="5">
        <v>0</v>
      </c>
      <c r="E18" s="26" t="e">
        <f>#REF!</f>
        <v>#REF!</v>
      </c>
      <c r="F18" s="5" t="e">
        <f>prets!#REF!</f>
        <v>#REF!</v>
      </c>
      <c r="G18" s="33" t="e">
        <f t="shared" si="0"/>
        <v>#REF!</v>
      </c>
      <c r="H18" s="5" t="e">
        <f>#REF!</f>
        <v>#REF!</v>
      </c>
      <c r="I18" s="5" t="e">
        <f>prets!#REF!</f>
        <v>#REF!</v>
      </c>
      <c r="J18" s="33" t="e">
        <f t="shared" si="1"/>
        <v>#REF!</v>
      </c>
      <c r="K18" s="5" t="e">
        <f>#REF!</f>
        <v>#REF!</v>
      </c>
      <c r="L18" s="5" t="e">
        <f>prets!#REF!</f>
        <v>#REF!</v>
      </c>
      <c r="M18" s="33" t="e">
        <f t="shared" si="2"/>
        <v>#REF!</v>
      </c>
      <c r="N18" s="5" t="e">
        <f>#REF!</f>
        <v>#REF!</v>
      </c>
      <c r="O18" s="5" t="e">
        <f>prets!#REF!</f>
        <v>#REF!</v>
      </c>
      <c r="P18" s="33" t="e">
        <f t="shared" si="3"/>
        <v>#REF!</v>
      </c>
      <c r="Q18" s="5" t="e">
        <f>#REF!</f>
        <v>#REF!</v>
      </c>
      <c r="R18" s="5" t="e">
        <f>prets!#REF!</f>
        <v>#REF!</v>
      </c>
      <c r="S18" s="33" t="e">
        <f t="shared" si="4"/>
        <v>#REF!</v>
      </c>
      <c r="T18" s="5" t="e">
        <f>#REF!</f>
        <v>#REF!</v>
      </c>
      <c r="U18" s="5" t="e">
        <f>prets!#REF!</f>
        <v>#REF!</v>
      </c>
      <c r="V18" s="33" t="e">
        <f t="shared" si="5"/>
        <v>#REF!</v>
      </c>
      <c r="W18" s="5" t="e">
        <f>#REF!</f>
        <v>#REF!</v>
      </c>
      <c r="X18" s="5" t="e">
        <f>prets!#REF!</f>
        <v>#REF!</v>
      </c>
      <c r="Y18" s="33" t="e">
        <f t="shared" si="6"/>
        <v>#REF!</v>
      </c>
      <c r="Z18" s="5" t="e">
        <f>#REF!</f>
        <v>#REF!</v>
      </c>
      <c r="AA18" s="5" t="e">
        <f>prets!#REF!</f>
        <v>#REF!</v>
      </c>
      <c r="AB18" s="33" t="e">
        <f t="shared" si="7"/>
        <v>#REF!</v>
      </c>
      <c r="AC18" s="5" t="e">
        <f>#REF!</f>
        <v>#REF!</v>
      </c>
      <c r="AD18" s="5" t="e">
        <f>prets!#REF!</f>
        <v>#REF!</v>
      </c>
      <c r="AE18" s="33" t="e">
        <f t="shared" si="8"/>
        <v>#REF!</v>
      </c>
      <c r="AF18" s="5" t="e">
        <f>#REF!</f>
        <v>#REF!</v>
      </c>
      <c r="AG18" s="5" t="e">
        <f>prets!#REF!</f>
        <v>#REF!</v>
      </c>
      <c r="AH18" s="33" t="e">
        <f t="shared" si="9"/>
        <v>#REF!</v>
      </c>
      <c r="AI18" s="5" t="e">
        <f>#REF!</f>
        <v>#REF!</v>
      </c>
      <c r="AJ18" s="5" t="e">
        <f>prets!#REF!</f>
        <v>#REF!</v>
      </c>
      <c r="AK18" s="5">
        <v>0</v>
      </c>
      <c r="AL18" s="25" t="e">
        <f t="shared" si="11"/>
        <v>#REF!</v>
      </c>
      <c r="AM18" s="14" t="e">
        <f t="shared" si="10"/>
        <v>#REF!</v>
      </c>
      <c r="AN18" s="15" t="e">
        <f>Tableau478[[#This Row],[EP TOTALE]]+Tableau478[[#This Row],[INTERETS]]</f>
        <v>#REF!</v>
      </c>
    </row>
    <row r="19" spans="1:40">
      <c r="A19" s="5" t="s">
        <v>39</v>
      </c>
      <c r="B19" s="5" t="e">
        <f>#REF!</f>
        <v>#REF!</v>
      </c>
      <c r="C19" s="5">
        <f>prets!B32</f>
        <v>0</v>
      </c>
      <c r="D19" s="5">
        <v>0</v>
      </c>
      <c r="E19" s="5" t="e">
        <f>#REF!</f>
        <v>#REF!</v>
      </c>
      <c r="F19" s="5">
        <f>prets!C32</f>
        <v>0</v>
      </c>
      <c r="G19" s="33" t="e">
        <f t="shared" si="0"/>
        <v>#REF!</v>
      </c>
      <c r="H19" s="5" t="e">
        <f>#REF!</f>
        <v>#REF!</v>
      </c>
      <c r="I19" s="5">
        <f>prets!D32</f>
        <v>200000</v>
      </c>
      <c r="J19" s="33" t="e">
        <f t="shared" si="1"/>
        <v>#REF!</v>
      </c>
      <c r="K19" s="5" t="e">
        <f>#REF!</f>
        <v>#REF!</v>
      </c>
      <c r="L19" s="5">
        <f>prets!E32</f>
        <v>400000</v>
      </c>
      <c r="M19" s="33" t="e">
        <f t="shared" si="2"/>
        <v>#REF!</v>
      </c>
      <c r="N19" s="5" t="e">
        <f>#REF!</f>
        <v>#REF!</v>
      </c>
      <c r="O19" s="5">
        <f>prets!F32</f>
        <v>400000</v>
      </c>
      <c r="P19" s="33" t="e">
        <f t="shared" si="3"/>
        <v>#REF!</v>
      </c>
      <c r="Q19" s="5" t="e">
        <f>#REF!</f>
        <v>#REF!</v>
      </c>
      <c r="R19" s="5">
        <f>prets!G32</f>
        <v>750000</v>
      </c>
      <c r="S19" s="33" t="e">
        <f t="shared" si="4"/>
        <v>#REF!</v>
      </c>
      <c r="T19" s="5" t="e">
        <f>#REF!</f>
        <v>#REF!</v>
      </c>
      <c r="U19" s="5">
        <f>prets!H32</f>
        <v>650000</v>
      </c>
      <c r="V19" s="33" t="e">
        <f t="shared" si="5"/>
        <v>#REF!</v>
      </c>
      <c r="W19" s="5" t="e">
        <f>#REF!</f>
        <v>#REF!</v>
      </c>
      <c r="X19" s="5">
        <f>prets!I32</f>
        <v>650000</v>
      </c>
      <c r="Y19" s="33" t="e">
        <f t="shared" si="6"/>
        <v>#REF!</v>
      </c>
      <c r="Z19" s="5" t="e">
        <f>#REF!</f>
        <v>#REF!</v>
      </c>
      <c r="AA19" s="5">
        <f>prets!J32</f>
        <v>650000</v>
      </c>
      <c r="AB19" s="33" t="e">
        <f t="shared" si="7"/>
        <v>#REF!</v>
      </c>
      <c r="AC19" s="5" t="e">
        <f>#REF!</f>
        <v>#REF!</v>
      </c>
      <c r="AD19" s="5">
        <f>prets!K32</f>
        <v>650000</v>
      </c>
      <c r="AE19" s="33" t="e">
        <f t="shared" si="8"/>
        <v>#REF!</v>
      </c>
      <c r="AF19" s="5" t="e">
        <f>#REF!</f>
        <v>#REF!</v>
      </c>
      <c r="AG19" s="5">
        <f>prets!L32</f>
        <v>650000</v>
      </c>
      <c r="AH19" s="33" t="e">
        <f t="shared" si="9"/>
        <v>#REF!</v>
      </c>
      <c r="AI19" s="5" t="e">
        <f>#REF!</f>
        <v>#REF!</v>
      </c>
      <c r="AJ19" s="5">
        <f>prets!M32</f>
        <v>0</v>
      </c>
      <c r="AK19" s="5">
        <v>0</v>
      </c>
      <c r="AL19" s="25" t="e">
        <f t="shared" si="11"/>
        <v>#REF!</v>
      </c>
      <c r="AM19" s="14" t="e">
        <f t="shared" si="10"/>
        <v>#REF!</v>
      </c>
      <c r="AN19" s="15" t="e">
        <f>Tableau478[[#This Row],[EP TOTALE]]+Tableau478[[#This Row],[INTERETS]]</f>
        <v>#REF!</v>
      </c>
    </row>
    <row r="20" spans="1:40">
      <c r="A20" s="5" t="s">
        <v>41</v>
      </c>
      <c r="B20" s="5" t="e">
        <f>#REF!</f>
        <v>#REF!</v>
      </c>
      <c r="C20" s="5" t="e">
        <f>prets!#REF!</f>
        <v>#REF!</v>
      </c>
      <c r="D20" s="5">
        <v>0</v>
      </c>
      <c r="E20" s="5" t="e">
        <f>#REF!</f>
        <v>#REF!</v>
      </c>
      <c r="F20" s="5" t="e">
        <f>prets!#REF!</f>
        <v>#REF!</v>
      </c>
      <c r="G20" s="33" t="e">
        <f t="shared" si="0"/>
        <v>#REF!</v>
      </c>
      <c r="H20" s="5" t="e">
        <f>#REF!</f>
        <v>#REF!</v>
      </c>
      <c r="I20" s="5" t="e">
        <f>prets!#REF!</f>
        <v>#REF!</v>
      </c>
      <c r="J20" s="33" t="e">
        <f t="shared" si="1"/>
        <v>#REF!</v>
      </c>
      <c r="K20" s="5" t="e">
        <f>#REF!</f>
        <v>#REF!</v>
      </c>
      <c r="L20" s="5" t="e">
        <f>prets!#REF!</f>
        <v>#REF!</v>
      </c>
      <c r="M20" s="33" t="e">
        <f t="shared" si="2"/>
        <v>#REF!</v>
      </c>
      <c r="N20" s="5" t="e">
        <f>#REF!</f>
        <v>#REF!</v>
      </c>
      <c r="O20" s="5" t="e">
        <f>prets!#REF!</f>
        <v>#REF!</v>
      </c>
      <c r="P20" s="33" t="e">
        <f t="shared" si="3"/>
        <v>#REF!</v>
      </c>
      <c r="Q20" s="5" t="e">
        <f>#REF!</f>
        <v>#REF!</v>
      </c>
      <c r="R20" s="5" t="e">
        <f>prets!#REF!</f>
        <v>#REF!</v>
      </c>
      <c r="S20" s="33" t="e">
        <f t="shared" si="4"/>
        <v>#REF!</v>
      </c>
      <c r="T20" s="5" t="e">
        <f>#REF!</f>
        <v>#REF!</v>
      </c>
      <c r="U20" s="5" t="e">
        <f>prets!#REF!</f>
        <v>#REF!</v>
      </c>
      <c r="V20" s="33" t="e">
        <f t="shared" si="5"/>
        <v>#REF!</v>
      </c>
      <c r="W20" s="5" t="e">
        <f>#REF!</f>
        <v>#REF!</v>
      </c>
      <c r="X20" s="5" t="e">
        <f>prets!#REF!</f>
        <v>#REF!</v>
      </c>
      <c r="Y20" s="33" t="e">
        <f t="shared" si="6"/>
        <v>#REF!</v>
      </c>
      <c r="Z20" s="5" t="e">
        <f>#REF!</f>
        <v>#REF!</v>
      </c>
      <c r="AA20" s="5" t="e">
        <f>prets!#REF!</f>
        <v>#REF!</v>
      </c>
      <c r="AB20" s="33" t="e">
        <f t="shared" si="7"/>
        <v>#REF!</v>
      </c>
      <c r="AC20" s="5" t="e">
        <f>#REF!</f>
        <v>#REF!</v>
      </c>
      <c r="AD20" s="5" t="e">
        <f>prets!#REF!</f>
        <v>#REF!</v>
      </c>
      <c r="AE20" s="33" t="e">
        <f t="shared" si="8"/>
        <v>#REF!</v>
      </c>
      <c r="AF20" s="5" t="e">
        <f>#REF!</f>
        <v>#REF!</v>
      </c>
      <c r="AG20" s="5" t="e">
        <f>prets!#REF!</f>
        <v>#REF!</v>
      </c>
      <c r="AH20" s="33" t="e">
        <f t="shared" si="9"/>
        <v>#REF!</v>
      </c>
      <c r="AI20" s="5" t="e">
        <f>#REF!</f>
        <v>#REF!</v>
      </c>
      <c r="AJ20" s="5" t="e">
        <f>prets!#REF!</f>
        <v>#REF!</v>
      </c>
      <c r="AK20" s="5">
        <v>0</v>
      </c>
      <c r="AL20" s="25" t="e">
        <f t="shared" si="11"/>
        <v>#REF!</v>
      </c>
      <c r="AM20" s="14" t="e">
        <f t="shared" si="10"/>
        <v>#REF!</v>
      </c>
      <c r="AN20" s="15" t="e">
        <f>Tableau478[[#This Row],[EP TOTALE]]+Tableau478[[#This Row],[INTERETS]]</f>
        <v>#REF!</v>
      </c>
    </row>
    <row r="21" spans="1:40">
      <c r="A21" s="5" t="s">
        <v>31</v>
      </c>
      <c r="B21" s="5" t="e">
        <f>#REF!</f>
        <v>#REF!</v>
      </c>
      <c r="C21" s="5">
        <f>prets!B26</f>
        <v>0</v>
      </c>
      <c r="D21" s="5">
        <v>0</v>
      </c>
      <c r="E21" s="26">
        <v>15000</v>
      </c>
      <c r="F21" s="5">
        <f>prets!C26</f>
        <v>0</v>
      </c>
      <c r="G21" s="33">
        <f t="shared" si="0"/>
        <v>-15000</v>
      </c>
      <c r="H21" s="5" t="e">
        <f>#REF!</f>
        <v>#REF!</v>
      </c>
      <c r="I21" s="5">
        <f>prets!D26</f>
        <v>0</v>
      </c>
      <c r="J21" s="33" t="e">
        <f t="shared" si="1"/>
        <v>#REF!</v>
      </c>
      <c r="K21" s="5" t="e">
        <f>#REF!</f>
        <v>#REF!</v>
      </c>
      <c r="L21" s="5">
        <f>prets!E26</f>
        <v>200000</v>
      </c>
      <c r="M21" s="33" t="e">
        <f t="shared" si="2"/>
        <v>#REF!</v>
      </c>
      <c r="N21" s="5" t="e">
        <f>#REF!</f>
        <v>#REF!</v>
      </c>
      <c r="O21" s="5">
        <f>prets!F26</f>
        <v>350000</v>
      </c>
      <c r="P21" s="33" t="e">
        <f t="shared" si="3"/>
        <v>#REF!</v>
      </c>
      <c r="Q21" s="5" t="e">
        <f>#REF!</f>
        <v>#REF!</v>
      </c>
      <c r="R21" s="5">
        <f>prets!G26</f>
        <v>350000</v>
      </c>
      <c r="S21" s="33" t="e">
        <f t="shared" si="4"/>
        <v>#REF!</v>
      </c>
      <c r="T21" s="5" t="e">
        <f>#REF!</f>
        <v>#REF!</v>
      </c>
      <c r="U21" s="5">
        <f>prets!H26</f>
        <v>0</v>
      </c>
      <c r="V21" s="33" t="e">
        <f t="shared" si="5"/>
        <v>#REF!</v>
      </c>
      <c r="W21" s="5" t="e">
        <f>#REF!</f>
        <v>#REF!</v>
      </c>
      <c r="X21" s="5">
        <f>prets!I26</f>
        <v>0</v>
      </c>
      <c r="Y21" s="33" t="e">
        <f t="shared" si="6"/>
        <v>#REF!</v>
      </c>
      <c r="Z21" s="5" t="e">
        <f>#REF!</f>
        <v>#REF!</v>
      </c>
      <c r="AA21" s="5">
        <f>prets!J26</f>
        <v>0</v>
      </c>
      <c r="AB21" s="33" t="e">
        <f t="shared" si="7"/>
        <v>#REF!</v>
      </c>
      <c r="AC21" s="5" t="e">
        <f>#REF!</f>
        <v>#REF!</v>
      </c>
      <c r="AD21" s="5">
        <f>prets!K26</f>
        <v>0</v>
      </c>
      <c r="AE21" s="33" t="e">
        <f t="shared" si="8"/>
        <v>#REF!</v>
      </c>
      <c r="AF21" s="5" t="e">
        <f>#REF!</f>
        <v>#REF!</v>
      </c>
      <c r="AG21" s="5">
        <f>prets!L26</f>
        <v>0</v>
      </c>
      <c r="AH21" s="33" t="e">
        <f t="shared" si="9"/>
        <v>#REF!</v>
      </c>
      <c r="AI21" s="5" t="e">
        <f>#REF!</f>
        <v>#REF!</v>
      </c>
      <c r="AJ21" s="5">
        <f>prets!M26</f>
        <v>0</v>
      </c>
      <c r="AK21" s="5" t="e">
        <f>(Tableau478[[#This Row],[PRET JUIN]]+Tableau478[[#This Row],[REPPRE-JUIN]])-Tableau478[[#This Row],[REM JUIL]]</f>
        <v>#REF!</v>
      </c>
      <c r="AL21" s="25" t="e">
        <f t="shared" si="11"/>
        <v>#REF!</v>
      </c>
      <c r="AM21" s="14" t="e">
        <f t="shared" si="10"/>
        <v>#REF!</v>
      </c>
      <c r="AN21" s="15" t="e">
        <f>Tableau478[[#This Row],[EP TOTALE]]+Tableau478[[#This Row],[INTERETS]]</f>
        <v>#REF!</v>
      </c>
    </row>
    <row r="22" spans="1:40">
      <c r="A22" s="16" t="s">
        <v>34</v>
      </c>
      <c r="B22" s="5" t="e">
        <f>#REF!</f>
        <v>#REF!</v>
      </c>
      <c r="C22" s="5" t="e">
        <f>prets!#REF!</f>
        <v>#REF!</v>
      </c>
      <c r="D22" s="5">
        <v>0</v>
      </c>
      <c r="E22" s="5" t="e">
        <f>#REF!</f>
        <v>#REF!</v>
      </c>
      <c r="F22" s="5" t="e">
        <f>prets!#REF!</f>
        <v>#REF!</v>
      </c>
      <c r="G22" s="33" t="e">
        <f t="shared" si="0"/>
        <v>#REF!</v>
      </c>
      <c r="H22" s="5" t="e">
        <f>#REF!</f>
        <v>#REF!</v>
      </c>
      <c r="I22" s="5" t="e">
        <f>prets!#REF!</f>
        <v>#REF!</v>
      </c>
      <c r="J22" s="33" t="e">
        <f t="shared" si="1"/>
        <v>#REF!</v>
      </c>
      <c r="K22" s="5" t="e">
        <f>#REF!</f>
        <v>#REF!</v>
      </c>
      <c r="L22" s="5" t="e">
        <f>prets!#REF!</f>
        <v>#REF!</v>
      </c>
      <c r="M22" s="33" t="e">
        <f t="shared" si="2"/>
        <v>#REF!</v>
      </c>
      <c r="N22" s="5" t="e">
        <f>#REF!</f>
        <v>#REF!</v>
      </c>
      <c r="O22" s="5" t="e">
        <f>prets!#REF!</f>
        <v>#REF!</v>
      </c>
      <c r="P22" s="33" t="e">
        <f t="shared" si="3"/>
        <v>#REF!</v>
      </c>
      <c r="Q22" s="5" t="e">
        <f>#REF!</f>
        <v>#REF!</v>
      </c>
      <c r="R22" s="5" t="e">
        <f>prets!#REF!</f>
        <v>#REF!</v>
      </c>
      <c r="S22" s="33" t="e">
        <f t="shared" si="4"/>
        <v>#REF!</v>
      </c>
      <c r="T22" s="5" t="e">
        <f>#REF!</f>
        <v>#REF!</v>
      </c>
      <c r="U22" s="5" t="e">
        <f>prets!#REF!</f>
        <v>#REF!</v>
      </c>
      <c r="V22" s="33" t="e">
        <f t="shared" si="5"/>
        <v>#REF!</v>
      </c>
      <c r="W22" s="5" t="e">
        <f>#REF!</f>
        <v>#REF!</v>
      </c>
      <c r="X22" s="5" t="e">
        <f>prets!#REF!</f>
        <v>#REF!</v>
      </c>
      <c r="Y22" s="33" t="e">
        <f t="shared" si="6"/>
        <v>#REF!</v>
      </c>
      <c r="Z22" s="5" t="e">
        <f>#REF!</f>
        <v>#REF!</v>
      </c>
      <c r="AA22" s="5" t="e">
        <f>prets!#REF!</f>
        <v>#REF!</v>
      </c>
      <c r="AB22" s="33" t="e">
        <f t="shared" si="7"/>
        <v>#REF!</v>
      </c>
      <c r="AC22" s="5" t="e">
        <f>#REF!</f>
        <v>#REF!</v>
      </c>
      <c r="AD22" s="5" t="e">
        <f>prets!#REF!</f>
        <v>#REF!</v>
      </c>
      <c r="AE22" s="33" t="e">
        <f t="shared" si="8"/>
        <v>#REF!</v>
      </c>
      <c r="AF22" s="5" t="e">
        <f>#REF!</f>
        <v>#REF!</v>
      </c>
      <c r="AG22" s="5" t="e">
        <f>prets!#REF!</f>
        <v>#REF!</v>
      </c>
      <c r="AH22" s="33" t="e">
        <f t="shared" si="9"/>
        <v>#REF!</v>
      </c>
      <c r="AI22" s="5" t="e">
        <f>#REF!</f>
        <v>#REF!</v>
      </c>
      <c r="AJ22" s="5" t="e">
        <f>prets!#REF!</f>
        <v>#REF!</v>
      </c>
      <c r="AK22" s="5">
        <v>0</v>
      </c>
      <c r="AL22" s="25" t="e">
        <f t="shared" si="11"/>
        <v>#REF!</v>
      </c>
      <c r="AM22" s="17" t="e">
        <f t="shared" si="10"/>
        <v>#REF!</v>
      </c>
      <c r="AN22" s="18" t="e">
        <f>Tableau478[[#This Row],[EP TOTALE]]+Tableau478[[#This Row],[INTERETS]]</f>
        <v>#REF!</v>
      </c>
    </row>
    <row r="23" spans="1:40">
      <c r="A23" s="5" t="s">
        <v>29</v>
      </c>
      <c r="B23" s="5" t="e">
        <f>#REF!</f>
        <v>#REF!</v>
      </c>
      <c r="C23" s="5">
        <f>prets!B24</f>
        <v>250000</v>
      </c>
      <c r="D23" s="5">
        <v>0</v>
      </c>
      <c r="E23" s="26" t="e">
        <f>#REF!</f>
        <v>#REF!</v>
      </c>
      <c r="F23" s="5">
        <f>prets!C24</f>
        <v>250000</v>
      </c>
      <c r="G23" s="33" t="e">
        <f t="shared" si="0"/>
        <v>#REF!</v>
      </c>
      <c r="H23" s="26" t="e">
        <f>#REF!</f>
        <v>#REF!</v>
      </c>
      <c r="I23" s="5">
        <f>prets!D24</f>
        <v>350000</v>
      </c>
      <c r="J23" s="33" t="e">
        <f t="shared" si="1"/>
        <v>#REF!</v>
      </c>
      <c r="K23" s="5" t="e">
        <f>#REF!</f>
        <v>#REF!</v>
      </c>
      <c r="L23" s="5">
        <f>prets!E24</f>
        <v>350000</v>
      </c>
      <c r="M23" s="33" t="e">
        <f t="shared" si="2"/>
        <v>#REF!</v>
      </c>
      <c r="N23" s="5" t="e">
        <f>#REF!</f>
        <v>#REF!</v>
      </c>
      <c r="O23" s="5">
        <f>prets!F24</f>
        <v>350000</v>
      </c>
      <c r="P23" s="33" t="e">
        <f t="shared" si="3"/>
        <v>#REF!</v>
      </c>
      <c r="Q23" s="5" t="e">
        <f>#REF!</f>
        <v>#REF!</v>
      </c>
      <c r="R23" s="5">
        <f>prets!G24</f>
        <v>450000</v>
      </c>
      <c r="S23" s="33" t="e">
        <f t="shared" si="4"/>
        <v>#REF!</v>
      </c>
      <c r="T23" s="5" t="e">
        <f>#REF!</f>
        <v>#REF!</v>
      </c>
      <c r="U23" s="5">
        <f>prets!H24</f>
        <v>450000</v>
      </c>
      <c r="V23" s="33" t="e">
        <f t="shared" si="5"/>
        <v>#REF!</v>
      </c>
      <c r="W23" s="5" t="e">
        <f>#REF!</f>
        <v>#REF!</v>
      </c>
      <c r="X23" s="5">
        <f>prets!I24</f>
        <v>103000</v>
      </c>
      <c r="Y23" s="33" t="e">
        <f t="shared" si="6"/>
        <v>#REF!</v>
      </c>
      <c r="Z23" s="5" t="e">
        <f>#REF!</f>
        <v>#REF!</v>
      </c>
      <c r="AA23" s="5">
        <f>prets!J24</f>
        <v>200000</v>
      </c>
      <c r="AB23" s="33" t="e">
        <f t="shared" si="7"/>
        <v>#REF!</v>
      </c>
      <c r="AC23" s="5" t="e">
        <f>#REF!</f>
        <v>#REF!</v>
      </c>
      <c r="AD23" s="5">
        <f>prets!K24</f>
        <v>0</v>
      </c>
      <c r="AE23" s="33" t="e">
        <f t="shared" si="8"/>
        <v>#REF!</v>
      </c>
      <c r="AF23" s="5" t="e">
        <f>#REF!</f>
        <v>#REF!</v>
      </c>
      <c r="AG23" s="5">
        <f>prets!L24</f>
        <v>0</v>
      </c>
      <c r="AH23" s="33" t="e">
        <f t="shared" si="9"/>
        <v>#REF!</v>
      </c>
      <c r="AI23" s="5" t="e">
        <f>#REF!</f>
        <v>#REF!</v>
      </c>
      <c r="AJ23" s="5">
        <f>prets!M24</f>
        <v>0</v>
      </c>
      <c r="AK23" s="5" t="e">
        <f>(Tableau478[[#This Row],[PRET JUIN]]+Tableau478[[#This Row],[REPPRE-JUIN]])-Tableau478[[#This Row],[REM JUIL]]</f>
        <v>#REF!</v>
      </c>
      <c r="AL23" s="25" t="e">
        <f t="shared" si="11"/>
        <v>#REF!</v>
      </c>
      <c r="AM23" s="14" t="e">
        <f t="shared" si="10"/>
        <v>#REF!</v>
      </c>
      <c r="AN23" s="15" t="e">
        <f>Tableau478[[#This Row],[EP TOTALE]]+Tableau478[[#This Row],[INTERETS]]</f>
        <v>#REF!</v>
      </c>
    </row>
    <row r="24" spans="1:40">
      <c r="A24" s="5" t="s">
        <v>79</v>
      </c>
      <c r="B24" s="16">
        <v>0</v>
      </c>
      <c r="C24" s="5">
        <v>0</v>
      </c>
      <c r="D24" s="5">
        <v>0</v>
      </c>
      <c r="E24" s="5">
        <v>0</v>
      </c>
      <c r="F24" s="16">
        <v>0</v>
      </c>
      <c r="G24" s="33">
        <f t="shared" si="0"/>
        <v>0</v>
      </c>
      <c r="H24" s="5">
        <v>0</v>
      </c>
      <c r="I24" s="5">
        <f>prets!D34</f>
        <v>4112000</v>
      </c>
      <c r="J24" s="33">
        <f t="shared" si="1"/>
        <v>0</v>
      </c>
      <c r="K24" s="5">
        <v>0</v>
      </c>
      <c r="L24" s="5">
        <f>prets!E34</f>
        <v>4622000</v>
      </c>
      <c r="M24" s="33">
        <f t="shared" si="2"/>
        <v>4112000</v>
      </c>
      <c r="N24" s="5">
        <v>0</v>
      </c>
      <c r="O24" s="5">
        <f>prets!F34</f>
        <v>5647000</v>
      </c>
      <c r="P24" s="33">
        <f t="shared" si="3"/>
        <v>8734000</v>
      </c>
      <c r="Q24" s="5">
        <v>0</v>
      </c>
      <c r="R24" s="5">
        <f>prets!G34</f>
        <v>6368000</v>
      </c>
      <c r="S24" s="33">
        <f t="shared" si="4"/>
        <v>14381000</v>
      </c>
      <c r="T24" s="5">
        <v>0</v>
      </c>
      <c r="U24" s="16">
        <v>0</v>
      </c>
      <c r="V24" s="33">
        <f t="shared" si="5"/>
        <v>20749000</v>
      </c>
      <c r="W24" s="5">
        <v>0</v>
      </c>
      <c r="X24" s="16">
        <v>0</v>
      </c>
      <c r="Y24" s="33">
        <f t="shared" si="6"/>
        <v>20749000</v>
      </c>
      <c r="Z24" s="5">
        <v>0</v>
      </c>
      <c r="AA24" s="16">
        <v>0</v>
      </c>
      <c r="AB24" s="33">
        <f t="shared" si="7"/>
        <v>20749000</v>
      </c>
      <c r="AC24" s="5">
        <v>0</v>
      </c>
      <c r="AD24" s="16">
        <v>0</v>
      </c>
      <c r="AE24" s="33">
        <f t="shared" si="8"/>
        <v>20749000</v>
      </c>
      <c r="AF24" s="5">
        <v>0</v>
      </c>
      <c r="AG24" s="16">
        <v>0</v>
      </c>
      <c r="AH24" s="33">
        <f t="shared" si="9"/>
        <v>20749000</v>
      </c>
      <c r="AI24" s="5">
        <v>0</v>
      </c>
      <c r="AJ24" s="5">
        <f>prets!M34</f>
        <v>0</v>
      </c>
      <c r="AK24" s="5">
        <v>0</v>
      </c>
      <c r="AL24" s="25">
        <f t="shared" si="11"/>
        <v>0</v>
      </c>
      <c r="AM24" s="17">
        <f t="shared" si="10"/>
        <v>20749000</v>
      </c>
      <c r="AN24" s="18">
        <f>Tableau478[[#This Row],[EP TOTALE]]+Tableau478[[#This Row],[INTERETS]]</f>
        <v>20749000</v>
      </c>
    </row>
    <row r="25" spans="1:40">
      <c r="A25" s="5" t="s">
        <v>43</v>
      </c>
      <c r="B25" s="5" t="e">
        <f>+SUM(B1:B22)</f>
        <v>#REF!</v>
      </c>
      <c r="C25" s="5" t="e">
        <f>+SUM(C1:C22)</f>
        <v>#REF!</v>
      </c>
      <c r="D25" s="5">
        <v>0</v>
      </c>
      <c r="E25" s="5" t="e">
        <f>+SUM(E1:E22)</f>
        <v>#REF!</v>
      </c>
      <c r="F25" s="5" t="e">
        <f>+SUM(F1:F22)</f>
        <v>#REF!</v>
      </c>
      <c r="G25" s="33" t="e">
        <f t="shared" si="0"/>
        <v>#REF!</v>
      </c>
      <c r="H25" s="5" t="e">
        <f>SUM(H1:H22)</f>
        <v>#REF!</v>
      </c>
      <c r="I25" s="5" t="e">
        <f>prets!#REF!</f>
        <v>#REF!</v>
      </c>
      <c r="J25" s="33" t="e">
        <f t="shared" si="1"/>
        <v>#REF!</v>
      </c>
      <c r="K25" s="5" t="e">
        <f>SUM(K1:K24)</f>
        <v>#REF!</v>
      </c>
      <c r="L25" s="5" t="e">
        <f>prets!#REF!</f>
        <v>#REF!</v>
      </c>
      <c r="M25" s="33" t="e">
        <f t="shared" si="2"/>
        <v>#REF!</v>
      </c>
      <c r="N25" s="5" t="e">
        <f>SUM(N1:N24)</f>
        <v>#REF!</v>
      </c>
      <c r="O25" s="5" t="e">
        <f>prets!#REF!</f>
        <v>#REF!</v>
      </c>
      <c r="P25" s="33" t="e">
        <f t="shared" si="3"/>
        <v>#REF!</v>
      </c>
      <c r="Q25" s="5" t="e">
        <f>SUM(Q1:Q24)</f>
        <v>#REF!</v>
      </c>
      <c r="R25" s="5" t="e">
        <f>prets!#REF!</f>
        <v>#REF!</v>
      </c>
      <c r="S25" s="33" t="e">
        <f t="shared" si="4"/>
        <v>#REF!</v>
      </c>
      <c r="T25" s="5" t="e">
        <f>SUM(T1:T24)</f>
        <v>#REF!</v>
      </c>
      <c r="U25" s="5" t="e">
        <f>SUM(U1:U24)</f>
        <v>#REF!</v>
      </c>
      <c r="V25" s="33" t="e">
        <f t="shared" si="5"/>
        <v>#REF!</v>
      </c>
      <c r="W25" s="5" t="e">
        <f>SUM(W1:W24)</f>
        <v>#REF!</v>
      </c>
      <c r="X25" s="5" t="e">
        <f>SUM(X1:X24)</f>
        <v>#REF!</v>
      </c>
      <c r="Y25" s="33" t="e">
        <f t="shared" si="6"/>
        <v>#REF!</v>
      </c>
      <c r="Z25" s="5" t="e">
        <f>SUM(Z1:Z24)</f>
        <v>#REF!</v>
      </c>
      <c r="AA25" s="5" t="e">
        <f>SUM(AA1:AA24)</f>
        <v>#REF!</v>
      </c>
      <c r="AB25" s="33" t="e">
        <f t="shared" si="7"/>
        <v>#REF!</v>
      </c>
      <c r="AC25" s="5" t="e">
        <f>SUM(AC1:AC24)</f>
        <v>#REF!</v>
      </c>
      <c r="AD25" s="5" t="e">
        <f>SUM(AD1:AD24)</f>
        <v>#REF!</v>
      </c>
      <c r="AE25" s="33" t="e">
        <f t="shared" si="8"/>
        <v>#REF!</v>
      </c>
      <c r="AF25" s="5" t="e">
        <f>SUM(AF1:AF24)</f>
        <v>#REF!</v>
      </c>
      <c r="AG25" s="5" t="e">
        <f>SUM(AG1:AG24)</f>
        <v>#REF!</v>
      </c>
      <c r="AH25" s="33" t="e">
        <f t="shared" si="9"/>
        <v>#REF!</v>
      </c>
      <c r="AI25" s="5" t="e">
        <f>SUM(AI1:AI24)</f>
        <v>#REF!</v>
      </c>
      <c r="AJ25" s="5" t="e">
        <f>SUM(AJ1:AJ24)</f>
        <v>#REF!</v>
      </c>
      <c r="AK25" s="5" t="e">
        <f>SUM(AK1:AK24)</f>
        <v>#REF!</v>
      </c>
      <c r="AL25" s="25" t="e">
        <f>+SUM(AL1:AL24)</f>
        <v>#REF!</v>
      </c>
      <c r="AM25" s="14" t="e">
        <f t="shared" si="10"/>
        <v>#REF!</v>
      </c>
      <c r="AN25" s="15" t="e">
        <f>Tableau478[[#This Row],[EP TOTALE]]+Tableau478[[#This Row],[INTERETS]]</f>
        <v>#REF!</v>
      </c>
    </row>
    <row r="26" spans="1:40">
      <c r="A26" s="16" t="s">
        <v>83</v>
      </c>
      <c r="B26" s="5" t="e">
        <f>#REF!</f>
        <v>#REF!</v>
      </c>
      <c r="C26" s="5" t="e">
        <f>prets!#REF!</f>
        <v>#REF!</v>
      </c>
      <c r="D26" s="5">
        <v>0</v>
      </c>
      <c r="E26" s="5" t="e">
        <f>#REF!</f>
        <v>#REF!</v>
      </c>
      <c r="F26" s="5" t="e">
        <f>prets!#REF!</f>
        <v>#REF!</v>
      </c>
      <c r="G26" s="33" t="e">
        <f t="shared" si="0"/>
        <v>#REF!</v>
      </c>
      <c r="H26" s="5" t="e">
        <f>#REF!</f>
        <v>#REF!</v>
      </c>
      <c r="I26" s="5" t="e">
        <f>prets!#REF!</f>
        <v>#REF!</v>
      </c>
      <c r="J26" s="33" t="e">
        <f t="shared" si="1"/>
        <v>#REF!</v>
      </c>
      <c r="K26" s="5" t="e">
        <f>#REF!</f>
        <v>#REF!</v>
      </c>
      <c r="L26" s="5" t="e">
        <f>prets!#REF!</f>
        <v>#REF!</v>
      </c>
      <c r="M26" s="33" t="e">
        <f t="shared" si="2"/>
        <v>#REF!</v>
      </c>
      <c r="N26" s="5" t="e">
        <f>#REF!</f>
        <v>#REF!</v>
      </c>
      <c r="O26" s="5" t="e">
        <f>prets!#REF!</f>
        <v>#REF!</v>
      </c>
      <c r="P26" s="33" t="e">
        <f t="shared" si="3"/>
        <v>#REF!</v>
      </c>
      <c r="Q26" s="5" t="e">
        <f>#REF!</f>
        <v>#REF!</v>
      </c>
      <c r="R26" s="5" t="e">
        <f>prets!#REF!</f>
        <v>#REF!</v>
      </c>
      <c r="S26" s="33" t="e">
        <f t="shared" si="4"/>
        <v>#REF!</v>
      </c>
      <c r="T26" s="5" t="e">
        <f>#REF!</f>
        <v>#REF!</v>
      </c>
      <c r="U26" s="5" t="e">
        <f>prets!#REF!</f>
        <v>#REF!</v>
      </c>
      <c r="V26" s="33" t="e">
        <f t="shared" si="5"/>
        <v>#REF!</v>
      </c>
      <c r="W26" s="5" t="e">
        <f>#REF!</f>
        <v>#REF!</v>
      </c>
      <c r="X26" s="5" t="e">
        <f>prets!#REF!</f>
        <v>#REF!</v>
      </c>
      <c r="Y26" s="33" t="e">
        <f t="shared" si="6"/>
        <v>#REF!</v>
      </c>
      <c r="Z26" s="5" t="e">
        <f>#REF!</f>
        <v>#REF!</v>
      </c>
      <c r="AA26" s="5" t="e">
        <f>prets!#REF!</f>
        <v>#REF!</v>
      </c>
      <c r="AB26" s="33" t="e">
        <f t="shared" si="7"/>
        <v>#REF!</v>
      </c>
      <c r="AC26" s="5" t="e">
        <f>#REF!</f>
        <v>#REF!</v>
      </c>
      <c r="AD26" s="5" t="e">
        <f>prets!#REF!</f>
        <v>#REF!</v>
      </c>
      <c r="AE26" s="33" t="e">
        <f t="shared" si="8"/>
        <v>#REF!</v>
      </c>
      <c r="AF26" s="5" t="e">
        <f>#REF!</f>
        <v>#REF!</v>
      </c>
      <c r="AG26" s="5" t="e">
        <f>prets!#REF!</f>
        <v>#REF!</v>
      </c>
      <c r="AH26" s="33" t="e">
        <f t="shared" si="9"/>
        <v>#REF!</v>
      </c>
      <c r="AI26" s="5" t="e">
        <f>#REF!</f>
        <v>#REF!</v>
      </c>
      <c r="AJ26" s="5" t="e">
        <f>prets!#REF!</f>
        <v>#REF!</v>
      </c>
      <c r="AK26" s="5">
        <v>0</v>
      </c>
      <c r="AL26" s="25" t="e">
        <f>B26+E26+H26+K26+N26+Q26+T26+W26+Z26+AC26+AF26</f>
        <v>#REF!</v>
      </c>
      <c r="AM26" s="17" t="e">
        <f t="shared" si="10"/>
        <v>#REF!</v>
      </c>
      <c r="AN26" s="18" t="e">
        <f>Tableau478[[#This Row],[EP TOTALE]]+Tableau478[[#This Row],[INTERETS]]</f>
        <v>#REF!</v>
      </c>
    </row>
    <row r="27" spans="1:40">
      <c r="AG27" s="4"/>
      <c r="AH27" s="4"/>
      <c r="AI27" s="4"/>
      <c r="AJ27" s="4"/>
    </row>
    <row r="28" spans="1:40">
      <c r="AF28" s="5" t="s">
        <v>78</v>
      </c>
      <c r="AG28" s="4"/>
      <c r="AH28" s="4"/>
      <c r="AI28" s="4"/>
      <c r="AJ2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ep+int</vt:lpstr>
      <vt:lpstr>insc+sec</vt:lpstr>
      <vt:lpstr>ep+int (2)</vt:lpstr>
      <vt:lpstr>prets</vt:lpstr>
      <vt:lpstr>Rem25</vt:lpstr>
      <vt:lpstr>intérêts25</vt:lpstr>
      <vt:lpstr>prets25</vt:lpstr>
      <vt:lpstr>intérêts</vt:lpstr>
      <vt:lpstr>tontine</vt:lpstr>
      <vt:lpstr>Feuil1</vt:lpstr>
      <vt:lpstr>IntNet</vt:lpstr>
      <vt:lpstr>PretsNet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NSOA MBONDO</dc:creator>
  <cp:lastModifiedBy>DELL</cp:lastModifiedBy>
  <dcterms:created xsi:type="dcterms:W3CDTF">2014-04-28T12:21:58Z</dcterms:created>
  <dcterms:modified xsi:type="dcterms:W3CDTF">2025-08-07T04:54:26Z</dcterms:modified>
</cp:coreProperties>
</file>